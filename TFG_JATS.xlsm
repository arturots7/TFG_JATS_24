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erfiles\jts44\Downloads\Versión 20240709\"/>
    </mc:Choice>
  </mc:AlternateContent>
  <workbookProtection workbookAlgorithmName="SHA-512" workbookHashValue="Whli/UYWege7vIUcrFuJiTzxjBdKX6AtvANstlbhXWCRN0UdMubJIZc251TYU6sifqO8YM5z8ml3qgU5H5Y8xQ==" workbookSaltValue="ryVrASMtIykW1NIjiEVPGw==" workbookSpinCount="100000" lockStructure="1"/>
  <bookViews>
    <workbookView xWindow="0" yWindow="495" windowWidth="24195" windowHeight="16245"/>
  </bookViews>
  <sheets>
    <sheet name="FORMULARIO" sheetId="1" r:id="rId1"/>
    <sheet name="ESTIMAR" sheetId="16" r:id="rId2"/>
    <sheet name="DESESTIMAR" sheetId="15" r:id="rId3"/>
    <sheet name="ACUSE" sheetId="17" r:id="rId4"/>
    <sheet name="Alumnado" sheetId="2" r:id="rId5"/>
    <sheet name="T_Títulos" sheetId="14" state="hidden" r:id="rId6"/>
    <sheet name="RD_(Módulos)" sheetId="11" state="hidden" r:id="rId7"/>
    <sheet name="RD_M(CV)" sheetId="19" state="hidden" r:id="rId8"/>
  </sheets>
  <definedNames>
    <definedName name="_xlnm._FilterDatabase" localSheetId="4" hidden="1">Alumnado!$A$1:$C$157</definedName>
    <definedName name="_xlnm._FilterDatabase" localSheetId="6" hidden="1">'RD_(Módulos)'!$A$1:$S$178</definedName>
    <definedName name="_xlnm._FilterDatabase" localSheetId="7" hidden="1">'RD_M(CV)'!$A$1:$K$803</definedName>
    <definedName name="_xlnm._FilterDatabase" localSheetId="5" hidden="1">T_Títulos!$A$1:$G$298</definedName>
    <definedName name="Medio">T_Títulos!$D$2:$D$129</definedName>
    <definedName name="RD_1071_2012">'RD_(Módulos)'!$B$2:$O$2</definedName>
    <definedName name="RD_1072_2012">'RD_(Módulos)'!$B$3:$N$3</definedName>
    <definedName name="RD_1073_2012">'RD_(Módulos)'!$B$4:$N$4</definedName>
    <definedName name="RD_1074_2012">'RD_(Módulos)'!$B$5:$P$5</definedName>
    <definedName name="RD_1075_2012">'RD_(Módulos)'!$B$6:$P$6</definedName>
    <definedName name="RD_109_2022">'RD_(Módulos)'!$B$7:$G$7</definedName>
    <definedName name="RD_1127_2010">'RD_(Módulos)'!$B$8:$O$8</definedName>
    <definedName name="RD_1128_2010">'RD_(Módulos)'!$B$9:$O$9</definedName>
    <definedName name="RD_1129_2010">'RD_(Módulos)'!$B$10:$P$10</definedName>
    <definedName name="RD_113_2017">'RD_(Módulos)'!$B$11:$P$11</definedName>
    <definedName name="RD_114_2017">'RD_(Módulos)'!$B$12:$P$12</definedName>
    <definedName name="RD_1144_2012">'RD_(Módulos)'!$B$13:$O$13</definedName>
    <definedName name="RD_1145_2012">'RD_(Módulos)'!$B$14:$N$14</definedName>
    <definedName name="RD_1153_2021">'RD_(Módulos)'!$B$15:$F$15</definedName>
    <definedName name="RD_1161_2001">'RD_(Módulos)'!$B$16:$J$16</definedName>
    <definedName name="RD_1177_2008">'RD_(Módulos)'!$B$17:$O$17</definedName>
    <definedName name="RD_1254_2009">'RD_(Módulos)'!$B$18:$P$18</definedName>
    <definedName name="RD_1255_2009">'RD_(Módulos)'!$B$19:$P$19</definedName>
    <definedName name="RD_1394_2007">'RD_(Módulos)'!$B$20:$O$20</definedName>
    <definedName name="RD_1395_2007">'RD_(Módulos)'!$B$21:$N$21</definedName>
    <definedName name="RD_1396_2007">'RD_(Módulos)'!$B$22:$L$22</definedName>
    <definedName name="RD_1397_2007">'RD_(Módulos)'!$B$23:$N$23</definedName>
    <definedName name="RD_1398_2007">'RD_(Módulos)'!$B$24:$L$24</definedName>
    <definedName name="RD_1399_2007">'RD_(Módulos)'!$B$25:$N$25</definedName>
    <definedName name="RD_143_2024">'RD_(Módulos)'!$B$26:$G$26</definedName>
    <definedName name="RD_144_2024">'RD_(Módulos)'!$B$27:$E$27</definedName>
    <definedName name="RD_1444_2018">'RD_(Módulos)'!$B$28:$T$28</definedName>
    <definedName name="RD_1445_2018">'RD_(Módulos)'!$B$29:$S$29</definedName>
    <definedName name="RD_1446_2018">'RD_(Módulos)'!$B$30:$S$30</definedName>
    <definedName name="RD_1447_2018">'RD_(Módulos)'!$B$31:$S$31</definedName>
    <definedName name="RD_1448_2018">'RD_(Módulos)'!$B$32:$S$32</definedName>
    <definedName name="RD_1571_2011">'RD_(Módulos)'!$B$33:$P$33</definedName>
    <definedName name="RD_1572_2011">'RD_(Módulos)'!$B$34:$O$34</definedName>
    <definedName name="RD_1573_2011">'RD_(Módulos)'!$B$35:$P$35</definedName>
    <definedName name="RD_1574_2011">'RD_(Módulos)'!$B$36:$P$36</definedName>
    <definedName name="RD_1575_2011">'RD_(Módulos)'!$B$37:$P$37</definedName>
    <definedName name="RD_1576_2011">'RD_(Módulos)'!$B$38:$P$38</definedName>
    <definedName name="RD_1577_2011">'RD_(Módulos)'!$B$39:$P$39</definedName>
    <definedName name="RD_1578_2011">'RD_(Módulos)'!$B$40:$O$40</definedName>
    <definedName name="RD_1579_2011">'RD_(Módulos)'!$B$41:$S$41</definedName>
    <definedName name="RD_1580_2011">'RD_(Módulos)'!$B$42:$S$42</definedName>
    <definedName name="RD_1581_2011">'RD_(Módulos)'!$B$43:$S$43</definedName>
    <definedName name="RD_1582_2011">'RD_(Módulos)'!$B$44:$S$44</definedName>
    <definedName name="RD_1583_2011">'RD_(Módulos)'!$B$45:$S$45</definedName>
    <definedName name="RD_1584_2011">'RD_(Módulos)'!$B$46:$P$46</definedName>
    <definedName name="RD_1585_2011">'RD_(Módulos)'!$B$47:$N$47</definedName>
    <definedName name="RD_1585_2012">'RD_(Módulos)'!$B$48:$O$48</definedName>
    <definedName name="RD_1586_2011">'RD_(Módulos)'!$B$49:$M$49</definedName>
    <definedName name="RD_1587_2011">'RD_(Módulos)'!$B$50:$O$50</definedName>
    <definedName name="RD_1588_2011">'RD_(Módulos)'!$B$51:$O$51</definedName>
    <definedName name="RD_1589_2011">'RD_(Módulos)'!$B$52:$L$52</definedName>
    <definedName name="RD_1590_2011">'RD_(Módulos)'!$B$53:$L$53</definedName>
    <definedName name="RD_1591_2011">'RD_(Módulos)'!$B$54:$O$54</definedName>
    <definedName name="RD_1592_2011">'RD_(Módulos)'!$B$55:$N$55</definedName>
    <definedName name="RD_1593_2011">'RD_(Módulos)'!$B$56:$O$56</definedName>
    <definedName name="RD_1629_2009">'RD_(Módulos)'!$B$57:$P$57</definedName>
    <definedName name="RD_1630_2009">'RD_(Módulos)'!$B$58:$M$58</definedName>
    <definedName name="RD_1631_2009">'RD_(Módulos)'!$B$59:$N$59</definedName>
    <definedName name="RD_1632_2009">'RD_(Módulos)'!$B$60:$N$60</definedName>
    <definedName name="RD_1633_2009">'RD_(Módulos)'!$B$61:$O$61</definedName>
    <definedName name="RD_1634_2009">'RD_(Módulos)'!$B$62:$N$62</definedName>
    <definedName name="RD_1679_2011">'RD_(Módulos)'!$B$63:$N$63</definedName>
    <definedName name="RD_1680_2011">'RD_(Módulos)'!$B$64:$O$64</definedName>
    <definedName name="RD_1681_2011">'RD_(Módulos)'!$B$65:$N$65</definedName>
    <definedName name="RD_1682_2011">'RD_(Módulos)'!$B$66:$O$66</definedName>
    <definedName name="RD_1683_2011">'RD_(Módulos)'!$B$67:$N$67</definedName>
    <definedName name="RD_1684_2011">'RD_(Módulos)'!$B$68:$Q$68</definedName>
    <definedName name="RD_1685_2007">'RD_(Módulos)'!$B$69:$M$69</definedName>
    <definedName name="RD_1685_2011">'RD_(Módulos)'!$B$70:$P$70</definedName>
    <definedName name="RD_1686_2007">'RD_(Módulos)'!$B$71:$P$71</definedName>
    <definedName name="RD_1686_2011">'RD_(Módulos)'!$B$72:$P$72</definedName>
    <definedName name="RD_1687_2007">'RD_(Módulos)'!$B$73:$O$73</definedName>
    <definedName name="RD_1687_2011">'RD_(Módulos)'!$B$74:$N$74</definedName>
    <definedName name="RD_1688_2007">'RD_(Módulos)'!$B$75:$P$75</definedName>
    <definedName name="RD_1688_2011">'RD_(Módulos)'!$B$76:$O$76</definedName>
    <definedName name="RD_1689_2007">'RD_(Módulos)'!$B$77:$N$77</definedName>
    <definedName name="RD_1689_2011">'RD_(Módulos)'!$B$78:$O$78</definedName>
    <definedName name="RD_1690_2007">'RD_(Módulos)'!$B$79:$N$79</definedName>
    <definedName name="RD_1690_2011">'RD_(Módulos)'!$B$80:$N$80</definedName>
    <definedName name="RD_1691_2007">'RD_(Módulos)'!$B$81:$M$81</definedName>
    <definedName name="RD_1691_2011">'RD_(Módulos)'!$B$82:$N$82</definedName>
    <definedName name="RD_1692_2007">'RD_(Módulos)'!$B$83:$L$83</definedName>
    <definedName name="RD_174_2008">'RD_(Módulos)'!$B$84:$N$84</definedName>
    <definedName name="RD_174_2013">'RD_(Módulos)'!$B$85:$O$85</definedName>
    <definedName name="RD_174_2021">'RD_(Módulos)'!$B$86:$P$86</definedName>
    <definedName name="RD_175_2008">'RD_(Módulos)'!$B$87:$P$87</definedName>
    <definedName name="RD_175_2013">'RD_(Módulos)'!$B$88:$N$88</definedName>
    <definedName name="RD_175_2021">'RD_(Módulos)'!$B$89:$G$89</definedName>
    <definedName name="RD_176_2008">'RD_(Módulos)'!$B$90:$L$90</definedName>
    <definedName name="RD_176_2021">'RD_(Módulos)'!$B$91:$I$91</definedName>
    <definedName name="RD_177_2008">'RD_(Módulos)'!$B$92:$N$92</definedName>
    <definedName name="RD_178_2008">'RD_(Módulos)'!$B$93:$M$93</definedName>
    <definedName name="RD_1792_2010">'RD_(Módulos)'!$B$94:$M$94</definedName>
    <definedName name="RD_1793_2010">'RD_(Módulos)'!$B$95:$L$95</definedName>
    <definedName name="RD_1796_2008">'RD_(Módulos)'!$B$96:$N$96</definedName>
    <definedName name="RD_1797_2008">'RD_(Módulos)'!$B$97:$O$97</definedName>
    <definedName name="RD_1798_2008">'RD_(Módulos)'!$B$98:$O$98</definedName>
    <definedName name="RD_189_2018">'RD_(Módulos)'!$B$99:$O$99</definedName>
    <definedName name="RD_206_2022">'RD_(Módulos)'!$B$100:$D$100</definedName>
    <definedName name="RD_219_2008">'RD_(Módulos)'!$B$101:$O$101</definedName>
    <definedName name="RD_220_2008">'RD_(Módulos)'!$B$102:$O$102</definedName>
    <definedName name="RD_254_2011">'RD_(Módulos)'!$B$103:$L$103</definedName>
    <definedName name="RD_255_2011">'RD_(Módulos)'!$B$104:$N$104</definedName>
    <definedName name="RD_256_2011">'RD_(Módulos)'!$B$105:$P$105</definedName>
    <definedName name="RD_257_2011">'RD_(Módulos)'!$B$106:$O$106</definedName>
    <definedName name="RD_258_2011">'RD_(Módulos)'!$B$107:$N$107</definedName>
    <definedName name="RD_259_2011">'RD_(Módulos)'!$B$108:$O$108</definedName>
    <definedName name="RD_260_2011">'RD_(Módulos)'!$B$109:$R$109</definedName>
    <definedName name="RD_261_2021">'RD_(Módulos)'!$B$110:$G$110</definedName>
    <definedName name="RD_262_2021">'RD_(Módulos)'!$B$111:$D$111</definedName>
    <definedName name="RD_263_2021">'RD_(Módulos)'!$B$112:$G$112</definedName>
    <definedName name="RD_279_2021">'RD_(Módulos)'!$B$113:$G$113</definedName>
    <definedName name="RD_280_2021">'RD_(Módulos)'!$B$114:$H$114</definedName>
    <definedName name="RD_281_2021">'RD_(Módulos)'!$B$115:$G$115</definedName>
    <definedName name="RD_283_2019">'RD_(Módulos)'!$B$116:$O$116</definedName>
    <definedName name="RD_370_2001">'RD_(Módulos)'!$B$117:$J$117</definedName>
    <definedName name="RD_384_2011">'RD_(Módulos)'!$B$118:$P$118</definedName>
    <definedName name="RD_385_2011">'RD_(Módulos)'!$B$119:$O$119</definedName>
    <definedName name="RD_386_2011">'RD_(Módulos)'!$B$120:$P$120</definedName>
    <definedName name="RD_387_2011">'RD_(Módulos)'!$B$121:$L$121</definedName>
    <definedName name="RD_393_2022">'RD_(Módulos)'!$B$122:$I$122</definedName>
    <definedName name="RD_402_2020">'RD_(Módulos)'!$B$123:$P$123</definedName>
    <definedName name="RD_450_2010">'RD_(Módulos)'!$B$124:$P$124</definedName>
    <definedName name="RD_451_2010">'RD_(Módulos)'!$B$125:$R$125</definedName>
    <definedName name="RD_452_2010">'RD_(Módulos)'!$B$126:$N$126</definedName>
    <definedName name="RD_453_2010">'RD_(Módulos)'!$B$127:$M$127</definedName>
    <definedName name="RD_454_2010">'RD_(Módulos)'!$B$128:$M$128</definedName>
    <definedName name="RD_478_2020">'RD_(Módulos)'!$B$129:$G$129</definedName>
    <definedName name="RD_479_2020">'RD_(Módulos)'!$B$130:$H$130</definedName>
    <definedName name="RD_480_2020">'RD_(Módulos)'!$B$131:$G$131</definedName>
    <definedName name="RD_481_2020">'RD_(Módulos)'!$B$132:$G$132</definedName>
    <definedName name="RD_482_2020">'RD_(Módulos)'!$B$133:$G$133</definedName>
    <definedName name="RD_498_2003">'RD_(Módulos)'!$B$134:$M$134</definedName>
    <definedName name="RD_536_1995">'RD_(Módulos)'!$B$135:$K$135</definedName>
    <definedName name="RD_546_1995">'RD_(Módulos)'!$B$136:$I$136</definedName>
    <definedName name="RD_553_2012">'RD_(Módulos)'!$B$137:$P$137</definedName>
    <definedName name="RD_554_2012">'RD_(Módulos)'!$B$138:$O$138</definedName>
    <definedName name="RD_555_2012">'RD_(Módulos)'!$B$139:$N$139</definedName>
    <definedName name="RD_556_2012">'RD_(Módulos)'!$B$140:$L$140</definedName>
    <definedName name="RD_570_2023">'RD_(Módulos)'!$B$141:$N$141</definedName>
    <definedName name="RD_636_2015">'RD_(Módulos)'!$B$142:$Q$142</definedName>
    <definedName name="RD_651_2017">'RD_(Módulos)'!$B$143:$N$143</definedName>
    <definedName name="RD_652_2017">'RD_(Módulos)'!$B$144:$Q$144</definedName>
    <definedName name="RD_653_2017">'RD_(Módulos)'!$B$145:$P$145</definedName>
    <definedName name="RD_686_2010">'RD_(Módulos)'!$B$146:$O$146</definedName>
    <definedName name="RD_687_2010">'RD_(Módulos)'!$B$147:$P$147</definedName>
    <definedName name="RD_688_2010">'RD_(Módulos)'!$B$148:$Q$148</definedName>
    <definedName name="RD_689_2010">'RD_(Módulos)'!$B$149:$P$149</definedName>
    <definedName name="RD_690_2010">'RD_(Módulos)'!$B$150:$P$150</definedName>
    <definedName name="RD_699_2019">'RD_(Módulos)'!$B$151:$O$151</definedName>
    <definedName name="RD_74_2018">'RD_(Módulos)'!$B$152:$M$152</definedName>
    <definedName name="RD_767_2014">'RD_(Módulos)'!$B$153:$N$153</definedName>
    <definedName name="RD_768_2014">'RD_(Módulos)'!$B$154:$P$154</definedName>
    <definedName name="RD_769_2014">'RD_(Módulos)'!$B$155:$P$155</definedName>
    <definedName name="RD_770_2014">'RD_(Módulos)'!$B$156:$P$156</definedName>
    <definedName name="RD_771_2014">'RD_(Módulos)'!$B$157:$N$157</definedName>
    <definedName name="RD_772_2014">'RD_(Módulos)'!$B$158:$N$158</definedName>
    <definedName name="RD_779_2013">'RD_(Módulos)'!$B$159:$P$159</definedName>
    <definedName name="RD_831_2014">'RD_(Módulos)'!$B$160:$Q$160</definedName>
    <definedName name="RD_832_2014">'RD_(Módulos)'!$B$161:$Q$161</definedName>
    <definedName name="RD_838_2015">'RD_(Módulos)'!$B$162:$P$162</definedName>
    <definedName name="RD_838_2020">'RD_(Módulos)'!$B$163:$L$163</definedName>
    <definedName name="RD_880_2011">'RD_(Módulos)'!$B$164:$N$164</definedName>
    <definedName name="RD_881_2011">'RD_(Módulos)'!$B$165:$P$165</definedName>
    <definedName name="RD_882_2011">'RD_(Módulos)'!$B$166:$N$166</definedName>
    <definedName name="RD_883_2011">'RD_(Módulos)'!$B$167:$P$167</definedName>
    <definedName name="RD_90_2018">'RD_(Módulos)'!$B$168:$O$168</definedName>
    <definedName name="RD_904_2022">'RD_(Módulos)'!$B$169:$F$169</definedName>
    <definedName name="RD_905_2013">'RD_(Módulos)'!$B$170:$O$170</definedName>
    <definedName name="RD_906_2013">'RD_(Módulos)'!$B$171:$P$171</definedName>
    <definedName name="RD_907_2013">'RD_(Módulos)'!$B$172:$N$172</definedName>
    <definedName name="RD_91_2018">'RD_(Módulos)'!$B$173:$P$173</definedName>
    <definedName name="RD_921_2022">'RD_(Módulos)'!$B$174:$F$174</definedName>
    <definedName name="RD_93_2019">'RD_(Módulos)'!$B$175:$H$175</definedName>
    <definedName name="RD_94_2019">'RD_(Módulos)'!$B$176:$F$176</definedName>
    <definedName name="RD_954_2008">'RD_(Módulos)'!$B$177:$P$177</definedName>
    <definedName name="RD_955_2008">'RD_(Módulos)'!$B$178:$N$178</definedName>
    <definedName name="RD_M_1071_2012_0404">'RD_M(CV)'!$B$2:$G$2</definedName>
    <definedName name="RD_M_1071_2012_0409">'RD_M(CV)'!$B$3:$C$3</definedName>
    <definedName name="RD_M_1071_2012_0479">'RD_M(CV)'!$B$4:$C$4</definedName>
    <definedName name="RD_M_1071_2012_0832">'RD_M(CV)'!$B$5:$C$5</definedName>
    <definedName name="RD_M_1071_2012_0833">'RD_M(CV)'!$B$6:$C$6</definedName>
    <definedName name="RD_M_1071_2012_0834">'RD_M(CV)'!$B$7:$C$7</definedName>
    <definedName name="RD_M_1071_2012_0835">'RD_M(CV)'!$B$8:$E$8</definedName>
    <definedName name="RD_M_1071_2012_0836">'RD_M(CV)'!$B$9:$C$9</definedName>
    <definedName name="RD_M_1071_2012_0837">'RD_M(CV)'!$B$10:$G$10</definedName>
    <definedName name="RD_M_1071_2012_0838">'RD_M(CV)'!$B$11:$C$11</definedName>
    <definedName name="RD_M_1072_2012_1032">'RD_M(CV)'!$B$12:$E$12</definedName>
    <definedName name="RD_M_1072_2012_1033">'RD_M(CV)'!$B$13:$E$13</definedName>
    <definedName name="RD_M_1072_2012_1172">'RD_M(CV)'!$B$14:$C$14</definedName>
    <definedName name="RD_M_1072_2012_1173">'RD_M(CV)'!$B$15:$C$15</definedName>
    <definedName name="RD_M_1072_2012_1174">'RD_M(CV)'!$B$16:$D$16</definedName>
    <definedName name="RD_M_1072_2012_1175">'RD_M(CV)'!$B$17:$C$17</definedName>
    <definedName name="RD_M_1072_2012_1176">'RD_M(CV)'!$B$18:$C$18</definedName>
    <definedName name="RD_M_1072_2012_1177">'RD_M(CV)'!$B$19:$C$19</definedName>
    <definedName name="RD_M_1073_2012_0758">'RD_M(CV)'!$B$20:$C$20</definedName>
    <definedName name="RD_M_1073_2012_0759">'RD_M(CV)'!$B$21:$C$21</definedName>
    <definedName name="RD_M_1073_2012_0760">'RD_M(CV)'!$B$22:$C$22</definedName>
    <definedName name="RD_M_1073_2012_0761">'RD_M(CV)'!$B$23:$C$23</definedName>
    <definedName name="RD_M_1073_2012_0762">'RD_M(CV)'!$B$24:$C$24</definedName>
    <definedName name="RD_M_1073_2012_0764">'RD_M(CV)'!$B$25:$D$25</definedName>
    <definedName name="RD_M_1073_2012_0765">'RD_M(CV)'!$B$26:$D$26</definedName>
    <definedName name="RD_M_1074_2012_0017">'RD_M(CV)'!$B$27:$D$27</definedName>
    <definedName name="RD_M_1074_2012_0337">'RD_M(CV)'!$B$28:$C$28</definedName>
    <definedName name="RD_M_1074_2012_0338">'RD_M(CV)'!$B$29:$C$29</definedName>
    <definedName name="RD_M_1074_2012_0339">'RD_M(CV)'!$B$30:$C$30</definedName>
    <definedName name="RD_M_1074_2012_0342">'RD_M(CV)'!$B$31:$C$31</definedName>
    <definedName name="RD_M_1074_2012_0343">'RD_M(CV)'!$B$32:$C$32</definedName>
    <definedName name="RD_M_1074_2012_0344">'RD_M(CV)'!$B$33:$D$33</definedName>
    <definedName name="RD_M_1075_2012_0800">'RD_M(CV)'!$B$34:$D$34</definedName>
    <definedName name="RD_M_1075_2012_0802">'RD_M(CV)'!$B$35:$D$35</definedName>
    <definedName name="RD_M_1075_2012_1308">'RD_M(CV)'!$B$36:$C$36</definedName>
    <definedName name="RD_M_1075_2012_1309">'RD_M(CV)'!$B$37:$C$37</definedName>
    <definedName name="RD_M_1075_2012_1310">'RD_M(CV)'!$B$38:$C$38</definedName>
    <definedName name="RD_M_1075_2012_1311">'RD_M(CV)'!$B$39:$C$39</definedName>
    <definedName name="RD_M_1075_2012_1312">'RD_M(CV)'!$B$40:$C$40</definedName>
    <definedName name="RD_M_1075_2012_1313">'RD_M(CV)'!$B$41:$C$41</definedName>
    <definedName name="RD_M_1127_2010_0517">'RD_M(CV)'!$B$42:$D$42</definedName>
    <definedName name="RD_M_1127_2010_0519">'RD_M(CV)'!$B$43:$F$43</definedName>
    <definedName name="RD_M_1127_2010_0522">'RD_M(CV)'!$B$44:$C$44</definedName>
    <definedName name="RD_M_1127_2010_0523">'RD_M(CV)'!$B$45:$C$45</definedName>
    <definedName name="RD_M_1127_2010_0524">'RD_M(CV)'!$B$46:$C$46</definedName>
    <definedName name="RD_M_1128_2010_0538">'RD_M(CV)'!$B$47:$F$47</definedName>
    <definedName name="RD_M_1128_2010_0539">'RD_M(CV)'!$B$48:$C$48</definedName>
    <definedName name="RD_M_1128_2010_0540">'RD_M(CV)'!$B$49:$E$49</definedName>
    <definedName name="RD_M_1128_2010_0541">'RD_M(CV)'!$B$50:$E$50</definedName>
    <definedName name="RD_M_1128_2010_0542">'RD_M(CV)'!$B$51:$J$51</definedName>
    <definedName name="RD_M_1128_2010_0543">'RD_M(CV)'!$B$52:$C$52</definedName>
    <definedName name="RD_M_1128_2010_0544">'RD_M(CV)'!$B$53:$C$53</definedName>
    <definedName name="RD_M_1128_2010_0545">'RD_M(CV)'!$B$54:$E$54</definedName>
    <definedName name="RD_M_1128_2010_0546">'RD_M(CV)'!$B$55:$C$55</definedName>
    <definedName name="RD_M_1128_2010_0547">'RD_M(CV)'!$B$56:$C$56</definedName>
    <definedName name="RD_M_1129_2010_0404">'RD_M(CV)'!$B$57:$G$57</definedName>
    <definedName name="RD_M_1129_2010_0407">'RD_M(CV)'!$B$58:$C$58</definedName>
    <definedName name="RD_M_1129_2010_0408">'RD_M(CV)'!$B$59:$G$59</definedName>
    <definedName name="RD_M_1129_2010_0409">'RD_M(CV)'!$B$60:$E$60</definedName>
    <definedName name="RD_M_1129_2010_0479">'RD_M(CV)'!$B$61:$E$61</definedName>
    <definedName name="RD_M_1129_2010_0576">'RD_M(CV)'!$B$62:$C$62</definedName>
    <definedName name="RD_M_1129_2010_0577">'RD_M(CV)'!$B$63:$C$63</definedName>
    <definedName name="RD_M_1129_2010_0578">'RD_M(CV)'!$B$64:$E$64</definedName>
    <definedName name="RD_M_1129_2010_0579">'RD_M(CV)'!$B$65:$C$65</definedName>
    <definedName name="RD_M_1129_2010_0581">'RD_M(CV)'!$B$66:$C$66</definedName>
    <definedName name="RD_M_113_2017_1572">'RD_M(CV)'!$B$67:$G$67</definedName>
    <definedName name="RD_M_113_2017_1576">'RD_M(CV)'!$B$68:$G$68</definedName>
    <definedName name="RD_M_113_2017_1577">'RD_M(CV)'!$B$69:$C$69</definedName>
    <definedName name="RD_M_113_2017_1580">'RD_M(CV)'!$B$70:$H$70</definedName>
    <definedName name="RD_M_114_2017_0310">'RD_M(CV)'!$B$71:$I$71</definedName>
    <definedName name="RD_M_114_2017_1559">'RD_M(CV)'!$B$72:$D$72</definedName>
    <definedName name="RD_M_114_2017_1561">'RD_M(CV)'!$B$73:$H$73</definedName>
    <definedName name="RD_M_114_2017_1562">'RD_M(CV)'!$B$74:$G$74</definedName>
    <definedName name="RD_M_114_2017_1564">'RD_M(CV)'!$B$75:$D$75</definedName>
    <definedName name="RD_M_114_2017_1566">'RD_M(CV)'!$B$76:$C$76</definedName>
    <definedName name="RD_M_1144_2012_1027">'RD_M(CV)'!$B$77:$C$77</definedName>
    <definedName name="RD_M_1144_2012_1029">'RD_M(CV)'!$B$78:$C$78</definedName>
    <definedName name="RD_M_1144_2012_1030">'RD_M(CV)'!$B$79:$C$79</definedName>
    <definedName name="RD_M_1144_2012_1032">'RD_M(CV)'!$B$80:$E$80</definedName>
    <definedName name="RD_M_1144_2012_1033">'RD_M(CV)'!$B$81:$E$81</definedName>
    <definedName name="RD_M_1144_2012_1034">'RD_M(CV)'!$B$82:$D$82</definedName>
    <definedName name="RD_M_1144_2012_1035">'RD_M(CV)'!$B$83:$C$83</definedName>
    <definedName name="RD_M_1144_2012_1036">'RD_M(CV)'!$B$84:$C$84</definedName>
    <definedName name="RD_M_1145_2012_0260">'RD_M(CV)'!$B$85:$I$85</definedName>
    <definedName name="RD_M_1145_2012_0452">'RD_M(CV)'!$B$86:$F$86</definedName>
    <definedName name="RD_M_1145_2012_0742">'RD_M(CV)'!$B$87:$E$87</definedName>
    <definedName name="RD_M_1145_2012_0975">'RD_M(CV)'!$B$88:$C$88</definedName>
    <definedName name="RD_M_1177_2008_0121">'RD_M(CV)'!$B$89:$F$89</definedName>
    <definedName name="RD_M_1177_2008_0122">'RD_M(CV)'!$B$90:$F$90</definedName>
    <definedName name="RD_M_1177_2008_0123">'RD_M(CV)'!$B$91:$G$91</definedName>
    <definedName name="RD_M_1177_2008_0350">'RD_M(CV)'!$B$92:$C$92</definedName>
    <definedName name="RD_M_1254_2009_0171">'RD_M(CV)'!$B$93:$E$93</definedName>
    <definedName name="RD_M_1254_2009_0172">'RD_M(CV)'!$B$94:$C$94</definedName>
    <definedName name="RD_M_1254_2009_0173">'RD_M(CV)'!$B$95:$G$95</definedName>
    <definedName name="RD_M_1254_2009_0397">'RD_M(CV)'!$B$96:$C$96</definedName>
    <definedName name="RD_M_1254_2009_0398">'RD_M(CV)'!$B$97:$C$97</definedName>
    <definedName name="RD_M_1254_2009_0399">'RD_M(CV)'!$B$98:$C$98</definedName>
    <definedName name="RD_M_1254_2009_0402">'RD_M(CV)'!$B$99:$C$99</definedName>
    <definedName name="RD_M_1255_2009_0171">'RD_M(CV)'!$B$100:$F$100</definedName>
    <definedName name="RD_M_1255_2009_0172">'RD_M(CV)'!$B$101:$E$101</definedName>
    <definedName name="RD_M_1255_2009_0173">'RD_M(CV)'!$B$102:$G$102</definedName>
    <definedName name="RD_M_1255_2009_0383">'RD_M(CV)'!$B$103:$C$103</definedName>
    <definedName name="RD_M_1255_2009_0384">'RD_M(CV)'!$B$104:$D$104</definedName>
    <definedName name="RD_M_1255_2009_0385">'RD_M(CV)'!$B$105:$C$105</definedName>
    <definedName name="RD_M_1255_2009_0386">'RD_M(CV)'!$B$106:$C$106</definedName>
    <definedName name="RD_M_1255_2009_0387">'RD_M(CV)'!$B$107:$C$107</definedName>
    <definedName name="RD_M_1394_2007_0011">'RD_M(CV)'!$B$108:$C$108</definedName>
    <definedName name="RD_M_1394_2007_0012">'RD_M(CV)'!$B$109:$C$109</definedName>
    <definedName name="RD_M_1394_2007_0013">'RD_M(CV)'!$B$110:$C$110</definedName>
    <definedName name="RD_M_1394_2007_0014">'RD_M(CV)'!$B$111:$C$111</definedName>
    <definedName name="RD_M_1394_2007_0015">'RD_M(CV)'!$B$112:$C$112</definedName>
    <definedName name="RD_M_1394_2007_0016">'RD_M(CV)'!$B$113:$C$113</definedName>
    <definedName name="RD_M_1394_2007_0017">'RD_M(CV)'!$B$114:$D$114</definedName>
    <definedName name="RD_M_1395_2007_0065">'RD_M(CV)'!$B$115:$C$115</definedName>
    <definedName name="RD_M_1395_2007_0066">'RD_M(CV)'!$B$116:$C$116</definedName>
    <definedName name="RD_M_1395_2007_0067">'RD_M(CV)'!$B$117:$C$117</definedName>
    <definedName name="RD_M_1395_2007_0068">'RD_M(CV)'!$B$118:$C$118</definedName>
    <definedName name="RD_M_1395_2007_0069">'RD_M(CV)'!$B$119:$C$119</definedName>
    <definedName name="RD_M_1395_2007_0070">'RD_M(CV)'!$B$120:$D$120</definedName>
    <definedName name="RD_M_1395_2007_0072">'RD_M(CV)'!$B$121:$C$121</definedName>
    <definedName name="RD_M_1396_2007_0026">'RD_M(CV)'!$B$122:$E$122</definedName>
    <definedName name="RD_M_1396_2007_0028">'RD_M(CV)'!$B$123:$E$123</definedName>
    <definedName name="RD_M_1396_2007_0045">'RD_M(CV)'!$B$124:$D$124</definedName>
    <definedName name="RD_M_1396_2007_0046">'RD_M(CV)'!$B$125:$C$125</definedName>
    <definedName name="RD_M_1396_2007_0047">'RD_M(CV)'!$B$126:$C$126</definedName>
    <definedName name="RD_M_1396_2007_0048">'RD_M(CV)'!$B$127:$C$127</definedName>
    <definedName name="RD_M_1397_2007_0052">'RD_M(CV)'!$B$128:$J$128</definedName>
    <definedName name="RD_M_1398_2007_0001">'RD_M(CV)'!$B$129:$C$129</definedName>
    <definedName name="RD_M_1398_2007_0002">'RD_M(CV)'!$B$130:$C$130</definedName>
    <definedName name="RD_M_1398_2007_0003">'RD_M(CV)'!$B$131:$C$131</definedName>
    <definedName name="RD_M_1398_2007_0004">'RD_M(CV)'!$B$132:$C$132</definedName>
    <definedName name="RD_M_1398_2007_0005">'RD_M(CV)'!$B$133:$G$133</definedName>
    <definedName name="RD_M_1398_2007_0006">'RD_M(CV)'!$B$134:$E$134</definedName>
    <definedName name="RD_M_1398_2007_0007">'RD_M(CV)'!$B$135:$G$135</definedName>
    <definedName name="RD_M_1399_2007_0024">'RD_M(CV)'!$B$136:$C$136</definedName>
    <definedName name="RD_M_1399_2007_0025">'RD_M(CV)'!$B$137:$D$137</definedName>
    <definedName name="RD_M_1399_2007_0026">'RD_M(CV)'!$B$138:$E$138</definedName>
    <definedName name="RD_M_1399_2007_0027">'RD_M(CV)'!$B$139:$C$139</definedName>
    <definedName name="RD_M_1399_2007_0028">'RD_M(CV)'!$B$140:$E$140</definedName>
    <definedName name="RD_M_1399_2007_0029">'RD_M(CV)'!$B$141:$C$141</definedName>
    <definedName name="RD_M_1399_2007_0030">'RD_M(CV)'!$B$142:$H$142</definedName>
    <definedName name="RD_M_1399_2007_0031">'RD_M(CV)'!$B$143:$C$143</definedName>
    <definedName name="RD_M_1399_2007_0032">'RD_M(CV)'!$B$144:$G$144</definedName>
    <definedName name="RD_M_1571_2011_0623">'RD_M(CV)'!$B$145:$E$145</definedName>
    <definedName name="RD_M_1571_2011_0930">'RD_M(CV)'!$B$146:$C$146</definedName>
    <definedName name="RD_M_1571_2011_1008">'RD_M(CV)'!$B$147:$C$147</definedName>
    <definedName name="RD_M_1571_2011_1109">'RD_M(CV)'!$B$148:$C$148</definedName>
    <definedName name="RD_M_1571_2011_1110">'RD_M(CV)'!$B$149:$C$149</definedName>
    <definedName name="RD_M_1572_2011_0622">'RD_M(CV)'!$B$150:$C$150</definedName>
    <definedName name="RD_M_1572_2011_0623">'RD_M(CV)'!$B$151:$E$151</definedName>
    <definedName name="RD_M_1572_2011_0624">'RD_M(CV)'!$B$152:$C$152</definedName>
    <definedName name="RD_M_1572_2011_0625">'RD_M(CV)'!$B$153:$E$153</definedName>
    <definedName name="RD_M_1572_2011_0626">'RD_M(CV)'!$B$154:$C$154</definedName>
    <definedName name="RD_M_1572_2011_0627">'RD_M(CV)'!$B$155:$D$155</definedName>
    <definedName name="RD_M_1572_2011_0628">'RD_M(CV)'!$B$156:$C$156</definedName>
    <definedName name="RD_M_1572_2011_0629">'RD_M(CV)'!$B$157:$E$157</definedName>
    <definedName name="RD_M_1573_2011_0623">'RD_M(CV)'!$B$158:$E$158</definedName>
    <definedName name="RD_M_1573_2011_0625">'RD_M(CV)'!$B$159:$C$159</definedName>
    <definedName name="RD_M_1573_2011_0626">'RD_M(CV)'!$B$160:$C$160</definedName>
    <definedName name="RD_M_1573_2011_0930">'RD_M(CV)'!$B$161:$C$161</definedName>
    <definedName name="RD_M_1573_2011_1010">'RD_M(CV)'!$B$162:$C$162</definedName>
    <definedName name="RD_M_1574_2011_0622">'RD_M(CV)'!$B$163:$D$163</definedName>
    <definedName name="RD_M_1574_2011_0623">'RD_M(CV)'!$B$164:$E$164</definedName>
    <definedName name="RD_M_1574_2011_0625">'RD_M(CV)'!$B$165:$E$165</definedName>
    <definedName name="RD_M_1574_2011_0627">'RD_M(CV)'!$B$166:$C$166</definedName>
    <definedName name="RD_M_1574_2011_0823">'RD_M(CV)'!$B$167:$C$167</definedName>
    <definedName name="RD_M_1574_2011_0824">'RD_M(CV)'!$B$168:$C$168</definedName>
    <definedName name="RD_M_1574_2011_0825">'RD_M(CV)'!$B$169:$C$169</definedName>
    <definedName name="RD_M_1574_2011_0826">'RD_M(CV)'!$B$170:$C$170</definedName>
    <definedName name="RD_M_1575_2011_0996">'RD_M(CV)'!$B$171:$D$171</definedName>
    <definedName name="RD_M_1575_2011_0997">'RD_M(CV)'!$B$172:$C$172</definedName>
    <definedName name="RD_M_1575_2011_0998">'RD_M(CV)'!$B$173:$D$173</definedName>
    <definedName name="RD_M_1575_2011_0999">'RD_M(CV)'!$B$174:$C$174</definedName>
    <definedName name="RD_M_1575_2011_1000">'RD_M(CV)'!$B$175:$C$175</definedName>
    <definedName name="RD_M_1575_2011_1001">'RD_M(CV)'!$B$176:$D$176</definedName>
    <definedName name="RD_M_1575_2011_1002">'RD_M(CV)'!$B$177:$D$177</definedName>
    <definedName name="RD_M_1575_2011_1003">'RD_M(CV)'!$B$178:$D$178</definedName>
    <definedName name="RD_M_1575_2011_1004">'RD_M(CV)'!$B$179:$C$179</definedName>
    <definedName name="RD_M_1575_2011_1005">'RD_M(CV)'!$B$180:$C$180</definedName>
    <definedName name="RD_M_1576_2011_0935">'RD_M(CV)'!$B$181:$E$181</definedName>
    <definedName name="RD_M_1576_2011_0936">'RD_M(CV)'!$B$182:$C$182</definedName>
    <definedName name="RD_M_1576_2011_0937">'RD_M(CV)'!$B$183:$D$183</definedName>
    <definedName name="RD_M_1576_2011_0938">'RD_M(CV)'!$B$184:$C$184</definedName>
    <definedName name="RD_M_1576_2011_0939">'RD_M(CV)'!$B$185:$C$185</definedName>
    <definedName name="RD_M_1576_2011_0940">'RD_M(CV)'!$B$186:$C$186</definedName>
    <definedName name="RD_M_1576_2011_0941">'RD_M(CV)'!$B$187:$C$187</definedName>
    <definedName name="RD_M_1576_2011_0942">'RD_M(CV)'!$B$188:$C$188</definedName>
    <definedName name="RD_M_1576_2011_0944">'RD_M(CV)'!$B$189:$C$189</definedName>
    <definedName name="RD_M_1577_2011_0750">'RD_M(CV)'!$B$190:$C$190</definedName>
    <definedName name="RD_M_1578_2011_1051">'RD_M(CV)'!$B$191:$C$191</definedName>
    <definedName name="RD_M_1578_2011_1052">'RD_M(CV)'!$B$192:$C$192</definedName>
    <definedName name="RD_M_1578_2011_1058">'RD_M(CV)'!$B$193:$C$193</definedName>
    <definedName name="RD_M_1578_2011_1059">'RD_M(CV)'!$B$194:$C$194</definedName>
    <definedName name="RD_M_1579_2011_0982">'RD_M(CV)'!$B$195:$D$195</definedName>
    <definedName name="RD_M_1579_2011_0983">'RD_M(CV)'!$B$196:$C$196</definedName>
    <definedName name="RD_M_1579_2011_0984">'RD_M(CV)'!$B$197:$C$197</definedName>
    <definedName name="RD_M_1579_2011_0985">'RD_M(CV)'!$B$198:$C$198</definedName>
    <definedName name="RD_M_1579_2011_0986">'RD_M(CV)'!$B$199:$C$199</definedName>
    <definedName name="RD_M_1579_2011_0987">'RD_M(CV)'!$B$200:$C$200</definedName>
    <definedName name="RD_M_1579_2011_0988">'RD_M(CV)'!$B$201:$D$201</definedName>
    <definedName name="RD_M_1579_2011_0990">'RD_M(CV)'!$B$202:$C$202</definedName>
    <definedName name="RD_M_1580_2011_0281">'RD_M(CV)'!$B$203:$C$203</definedName>
    <definedName name="RD_M_1580_2011_0282">'RD_M(CV)'!$B$204:$E$204</definedName>
    <definedName name="RD_M_1580_2011_0283">'RD_M(CV)'!$B$205:$C$205</definedName>
    <definedName name="RD_M_1580_2011_0444">'RD_M(CV)'!$B$206:$C$206</definedName>
    <definedName name="RD_M_1581_2011_0959">'RD_M(CV)'!$B$207:$C$207</definedName>
    <definedName name="RD_M_1581_2011_0960">'RD_M(CV)'!$B$208:$C$208</definedName>
    <definedName name="RD_M_1581_2011_0961">'RD_M(CV)'!$B$209:$C$209</definedName>
    <definedName name="RD_M_1581_2011_0962">'RD_M(CV)'!$B$210:$C$210</definedName>
    <definedName name="RD_M_1581_2011_0963">'RD_M(CV)'!$B$211:$E$211</definedName>
    <definedName name="RD_M_1581_2011_0964">'RD_M(CV)'!$B$212:$D$212</definedName>
    <definedName name="RD_M_1581_2011_0965">'RD_M(CV)'!$B$213:$C$213</definedName>
    <definedName name="RD_M_1581_2011_0967">'RD_M(CV)'!$B$214:$C$214</definedName>
    <definedName name="RD_M_1581_2011_0968">'RD_M(CV)'!$B$215:$C$215</definedName>
    <definedName name="RD_M_1582_2011_0647">'RD_M(CV)'!$B$216:$C$216</definedName>
    <definedName name="RD_M_1582_2011_0649">'RD_M(CV)'!$B$217:$C$217</definedName>
    <definedName name="RD_M_1582_2011_0651">'RD_M(CV)'!$B$218:$C$218</definedName>
    <definedName name="RD_M_1582_2011_0652">'RD_M(CV)'!$B$219:$C$219</definedName>
    <definedName name="RD_M_1582_2011_0653">'RD_M(CV)'!$B$220:$C$220</definedName>
    <definedName name="RD_M_1582_2011_0661">'RD_M(CV)'!$B$221:$E$221</definedName>
    <definedName name="RD_M_1582_2011_0662">'RD_M(CV)'!$B$222:$C$222</definedName>
    <definedName name="RD_M_1583_2011_1090">'RD_M(CV)'!$B$223:$C$223</definedName>
    <definedName name="RD_M_1584_2011_0647">'RD_M(CV)'!$B$224:$D$224</definedName>
    <definedName name="RD_M_1584_2011_0649">'RD_M(CV)'!$B$225:$D$225</definedName>
    <definedName name="RD_M_1584_2011_0651">'RD_M(CV)'!$B$226:$C$226</definedName>
    <definedName name="RD_M_1584_2011_0652">'RD_M(CV)'!$B$227:$C$227</definedName>
    <definedName name="RD_M_1584_2011_0653">'RD_M(CV)'!$B$228:$C$228</definedName>
    <definedName name="RD_M_1584_2011_0654">'RD_M(CV)'!$B$229:$C$229</definedName>
    <definedName name="RD_M_1584_2011_0655">'RD_M(CV)'!$B$230:$E$230</definedName>
    <definedName name="RD_M_1584_2011_0656">'RD_M(CV)'!$B$231:$C$231</definedName>
    <definedName name="RD_M_1585_2011_1015">'RD_M(CV)'!$B$232:$C$232</definedName>
    <definedName name="RD_M_1585_2011_1016">'RD_M(CV)'!$B$233:$C$233</definedName>
    <definedName name="RD_M_1585_2011_1017">'RD_M(CV)'!$B$234:$C$234</definedName>
    <definedName name="RD_M_1585_2011_1018">'RD_M(CV)'!$B$235:$C$235</definedName>
    <definedName name="RD_M_1585_2011_1019">'RD_M(CV)'!$B$236:$D$236</definedName>
    <definedName name="RD_M_1585_2011_1021">'RD_M(CV)'!$B$237:$E$237</definedName>
    <definedName name="RD_M_1585_2012_1274">'RD_M(CV)'!$B$238:$C$238</definedName>
    <definedName name="RD_M_1585_2012_1275">'RD_M(CV)'!$B$239:$C$239</definedName>
    <definedName name="RD_M_1585_2012_1278">'RD_M(CV)'!$B$240:$D$240</definedName>
    <definedName name="RD_M_1586_2011_0866">'RD_M(CV)'!$B$241:$C$241</definedName>
    <definedName name="RD_M_1586_2011_0867">'RD_M(CV)'!$B$242:$D$242</definedName>
    <definedName name="RD_M_1586_2011_0870">'RD_M(CV)'!$B$243:$C$243</definedName>
    <definedName name="RD_M_1586_2011_0871">'RD_M(CV)'!$B$244:$D$244</definedName>
    <definedName name="RD_M_1586_2011_0873">'RD_M(CV)'!$B$245:$D$245</definedName>
    <definedName name="RD_M_1588_2011_0636">'RD_M(CV)'!$B$246:$D$246</definedName>
    <definedName name="RD_M_1588_2011_0640">'RD_M(CV)'!$B$247:$D$247</definedName>
    <definedName name="RD_M_1588_2011_0643">'RD_M(CV)'!$B$248:$F$248</definedName>
    <definedName name="RD_M_1588_2011_0842">'RD_M(CV)'!$B$249:$C$249</definedName>
    <definedName name="RD_M_1588_2011_0843">'RD_M(CV)'!$B$250:$C$250</definedName>
    <definedName name="RD_M_1588_2011_0844">'RD_M(CV)'!$B$251:$C$251</definedName>
    <definedName name="RD_M_1588_2011_0845">'RD_M(CV)'!$B$252:$C$252</definedName>
    <definedName name="RD_M_1588_2011_0846">'RD_M(CV)'!$B$253:$C$253</definedName>
    <definedName name="RD_M_1588_2011_0849">'RD_M(CV)'!$B$254:$C$254</definedName>
    <definedName name="RD_M_1589_2011_0949">'RD_M(CV)'!$B$255:$G$255</definedName>
    <definedName name="RD_M_1589_2011_0950">'RD_M(CV)'!$B$256:$K$256</definedName>
    <definedName name="RD_M_1589_2011_0951">'RD_M(CV)'!$B$257:$G$257</definedName>
    <definedName name="RD_M_1589_2011_0952">'RD_M(CV)'!$B$258:$E$258</definedName>
    <definedName name="RD_M_1589_2011_0953">'RD_M(CV)'!$B$259:$D$259</definedName>
    <definedName name="RD_M_1589_2011_0954">'RD_M(CV)'!$B$260:$E$260</definedName>
    <definedName name="RD_M_1589_2011_0955">'RD_M(CV)'!$B$261:$C$261</definedName>
    <definedName name="RD_M_1590_2011_0877">'RD_M(CV)'!$B$262:$C$262</definedName>
    <definedName name="RD_M_1590_2011_0878">'RD_M(CV)'!$B$263:$C$263</definedName>
    <definedName name="RD_M_1590_2011_0882">'RD_M(CV)'!$B$264:$C$264</definedName>
    <definedName name="RD_M_1591_2011_0116">'RD_M(CV)'!$B$265:$E$265</definedName>
    <definedName name="RD_M_1591_2011_0275">'RD_M(CV)'!$B$266:$F$266</definedName>
    <definedName name="RD_M_1591_2011_1040">'RD_M(CV)'!$B$267:$C$267</definedName>
    <definedName name="RD_M_1591_2011_1041">'RD_M(CV)'!$B$268:$C$268</definedName>
    <definedName name="RD_M_1591_2011_1042">'RD_M(CV)'!$B$269:$C$269</definedName>
    <definedName name="RD_M_1591_2011_1043">'RD_M(CV)'!$B$270:$C$270</definedName>
    <definedName name="RD_M_1591_2011_1044">'RD_M(CV)'!$B$271:$C$271</definedName>
    <definedName name="RD_M_1591_2011_1045">'RD_M(CV)'!$B$272:$C$272</definedName>
    <definedName name="RD_M_1591_2011_1046">'RD_M(CV)'!$B$273:$C$273</definedName>
    <definedName name="RD_M_1591_2011_1047">'RD_M(CV)'!$B$274:$C$274</definedName>
    <definedName name="RD_M_1593_2011_0210">'RD_M(CV)'!$B$275:$C$275</definedName>
    <definedName name="RD_M_1593_2011_0211">'RD_M(CV)'!$B$276:$H$276</definedName>
    <definedName name="RD_M_1593_2011_0212">'RD_M(CV)'!$B$277:$C$277</definedName>
    <definedName name="RD_M_1593_2011_0213">'RD_M(CV)'!$B$278:$C$278</definedName>
    <definedName name="RD_M_1593_2011_0214">'RD_M(CV)'!$B$279:$F$279</definedName>
    <definedName name="RD_M_1593_2011_0215">'RD_M(CV)'!$B$280:$C$280</definedName>
    <definedName name="RD_M_1593_2011_0216">'RD_M(CV)'!$B$281:$D$281</definedName>
    <definedName name="RD_M_1593_2011_0217">'RD_M(CV)'!$B$282:$D$282</definedName>
    <definedName name="RD_M_1629_2009_0369">'RD_M(CV)'!$B$283:$C$283</definedName>
    <definedName name="RD_M_1629_2009_0370">'RD_M(CV)'!$B$284:$C$284</definedName>
    <definedName name="RD_M_1629_2009_0371">'RD_M(CV)'!$B$285:$C$285</definedName>
    <definedName name="RD_M_1629_2009_0372">'RD_M(CV)'!$B$286:$D$286</definedName>
    <definedName name="RD_M_1629_2009_0377">'RD_M(CV)'!$B$287:$D$287</definedName>
    <definedName name="RD_M_1630_2009_0245">'RD_M(CV)'!$B$288:$D$288</definedName>
    <definedName name="RD_M_1630_2009_0427">'RD_M(CV)'!$B$289:$C$289</definedName>
    <definedName name="RD_M_1630_2009_0428">'RD_M(CV)'!$B$290:$C$290</definedName>
    <definedName name="RD_M_1630_2009_0429">'RD_M(CV)'!$B$291:$C$291</definedName>
    <definedName name="RD_M_1630_2009_0431">'RD_M(CV)'!$B$292:$C$292</definedName>
    <definedName name="RD_M_1630_2009_0432">'RD_M(CV)'!$B$293:$C$293</definedName>
    <definedName name="RD_M_1631_2009_0437">'RD_M(CV)'!$B$294:$D$294</definedName>
    <definedName name="RD_M_1631_2009_0438">'RD_M(CV)'!$B$295:$C$295</definedName>
    <definedName name="RD_M_1631_2009_0439">'RD_M(CV)'!$B$296:$C$296</definedName>
    <definedName name="RD_M_1631_2009_0440">'RD_M(CV)'!$B$297:$D$297</definedName>
    <definedName name="RD_M_1631_2009_0441">'RD_M(CV)'!$B$298:$C$298</definedName>
    <definedName name="RD_M_1631_2009_0442">'RD_M(CV)'!$B$299:$C$299</definedName>
    <definedName name="RD_M_1631_2009_0443">'RD_M(CV)'!$B$300:$C$300</definedName>
    <definedName name="RD_M_1631_2009_0448">'RD_M(CV)'!$B$301:$C$301</definedName>
    <definedName name="RD_M_1632_2009_0237">'RD_M(CV)'!$B$302:$C$302</definedName>
    <definedName name="RD_M_1632_2009_0238">'RD_M(CV)'!$B$303:$C$303</definedName>
    <definedName name="RD_M_1632_2009_0359">'RD_M(CV)'!$B$304:$F$304</definedName>
    <definedName name="RD_M_1632_2009_0360">'RD_M(CV)'!$B$305:$F$305</definedName>
    <definedName name="RD_M_1632_2009_0361">'RD_M(CV)'!$B$306:$C$306</definedName>
    <definedName name="RD_M_1632_2009_0362">'RD_M(CV)'!$B$307:$E$307</definedName>
    <definedName name="RD_M_1633_2009_0404">'RD_M(CV)'!$B$308:$G$308</definedName>
    <definedName name="RD_M_1633_2009_0407">'RD_M(CV)'!$B$309:$C$309</definedName>
    <definedName name="RD_M_1633_2009_0408">'RD_M(CV)'!$B$310:$G$310</definedName>
    <definedName name="RD_M_1633_2009_0413">'RD_M(CV)'!$B$311:$C$311</definedName>
    <definedName name="RD_M_1634_2009_0404">'RD_M(CV)'!$B$312:$G$312</definedName>
    <definedName name="RD_M_1634_2009_0405">'RD_M(CV)'!$B$313:$D$313</definedName>
    <definedName name="RD_M_1634_2009_0408">'RD_M(CV)'!$B$314:$G$314</definedName>
    <definedName name="RD_M_1634_2009_0409">'RD_M(CV)'!$B$315:$D$315</definedName>
    <definedName name="RD_M_1634_2009_0475">'RD_M(CV)'!$B$316:$D$316</definedName>
    <definedName name="RD_M_1634_2009_0476">'RD_M(CV)'!$B$317:$D$317</definedName>
    <definedName name="RD_M_1634_2009_0477">'RD_M(CV)'!$B$318:$D$318</definedName>
    <definedName name="RD_M_1634_2009_0478">'RD_M(CV)'!$B$319:$D$319</definedName>
    <definedName name="RD_M_1634_2009_0479">'RD_M(CV)'!$B$320:$D$320</definedName>
    <definedName name="RD_M_1679_2011_0276">'RD_M(CV)'!$B$321:$D$321</definedName>
    <definedName name="RD_M_1680_2011_0902">'RD_M(CV)'!$B$322:$C$322</definedName>
    <definedName name="RD_M_1680_2011_0903">'RD_M(CV)'!$B$323:$C$323</definedName>
    <definedName name="RD_M_1680_2011_0904">'RD_M(CV)'!$B$324:$C$324</definedName>
    <definedName name="RD_M_1680_2011_0905">'RD_M(CV)'!$B$325:$C$325</definedName>
    <definedName name="RD_M_1680_2011_0906">'RD_M(CV)'!$B$326:$C$326</definedName>
    <definedName name="RD_M_1680_2011_0907">'RD_M(CV)'!$B$327:$C$327</definedName>
    <definedName name="RD_M_1681_2011_0910">'RD_M(CV)'!$B$328:$H$328</definedName>
    <definedName name="RD_M_1681_2011_0915">'RD_M(CV)'!$B$329:$C$329</definedName>
    <definedName name="RD_M_1681_2011_0916">'RD_M(CV)'!$B$330:$C$330</definedName>
    <definedName name="RD_M_1681_2011_0917">'RD_M(CV)'!$B$331:$C$331</definedName>
    <definedName name="RD_M_1681_2011_0918">'RD_M(CV)'!$B$332:$C$332</definedName>
    <definedName name="RD_M_1681_2011_0919">'RD_M(CV)'!$B$333:$C$333</definedName>
    <definedName name="RD_M_1681_2011_0920">'RD_M(CV)'!$B$334:$D$334</definedName>
    <definedName name="RD_M_1681_2011_0921">'RD_M(CV)'!$B$335:$C$335</definedName>
    <definedName name="RD_M_1682_2011_1098">'RD_M(CV)'!$B$336:$C$336</definedName>
    <definedName name="RD_M_1682_2011_1100">'RD_M(CV)'!$B$337:$C$337</definedName>
    <definedName name="RD_M_1682_2011_1101">'RD_M(CV)'!$B$338:$C$338</definedName>
    <definedName name="RD_M_1682_2011_1102">'RD_M(CV)'!$B$339:$C$339</definedName>
    <definedName name="RD_M_1682_2011_1104">'RD_M(CV)'!$B$340:$C$340</definedName>
    <definedName name="RD_M_1683_2011_1214">'RD_M(CV)'!$B$341:$C$341</definedName>
    <definedName name="RD_M_1683_2011_1217">'RD_M(CV)'!$B$342:$C$342</definedName>
    <definedName name="RD_M_1684_2011_0344">'RD_M(CV)'!$B$343:$D$343</definedName>
    <definedName name="RD_M_1684_2011_1123">'RD_M(CV)'!$B$344:$C$344</definedName>
    <definedName name="RD_M_1684_2011_1124">'RD_M(CV)'!$B$345:$H$345</definedName>
    <definedName name="RD_M_1684_2011_1125">'RD_M(CV)'!$B$346:$D$346</definedName>
    <definedName name="RD_M_1684_2011_1126">'RD_M(CV)'!$B$347:$C$347</definedName>
    <definedName name="RD_M_1684_2011_1128">'RD_M(CV)'!$B$348:$C$348</definedName>
    <definedName name="RD_M_1685_2007_0199">'RD_M(CV)'!$B$349:$C$349</definedName>
    <definedName name="RD_M_1685_2007_0200">'RD_M(CV)'!$B$350:$C$350</definedName>
    <definedName name="RD_M_1685_2007_0201">'RD_M(CV)'!$B$351:$C$351</definedName>
    <definedName name="RD_M_1685_2007_0202">'RD_M(CV)'!$B$352:$C$352</definedName>
    <definedName name="RD_M_1685_2007_0203">'RD_M(CV)'!$B$353:$C$353</definedName>
    <definedName name="RD_M_1685_2011_1182">'RD_M(CV)'!$B$354:$C$354</definedName>
    <definedName name="RD_M_1685_2011_1183">'RD_M(CV)'!$B$355:$C$355</definedName>
    <definedName name="RD_M_1685_2011_1184">'RD_M(CV)'!$B$356:$C$356</definedName>
    <definedName name="RD_M_1685_2011_1185">'RD_M(CV)'!$B$357:$C$357</definedName>
    <definedName name="RD_M_1685_2011_1186">'RD_M(CV)'!$B$358:$C$358</definedName>
    <definedName name="RD_M_1685_2011_1187">'RD_M(CV)'!$B$359:$C$359</definedName>
    <definedName name="RD_M_1685_2011_1188">'RD_M(CV)'!$B$360:$C$360</definedName>
    <definedName name="RD_M_1686_2007_0171">'RD_M(CV)'!$B$361:$D$361</definedName>
    <definedName name="RD_M_1686_2007_0172">'RD_M(CV)'!$B$362:$D$362</definedName>
    <definedName name="RD_M_1686_2007_0173">'RD_M(CV)'!$B$363:$F$363</definedName>
    <definedName name="RD_M_1686_2007_0174">'RD_M(CV)'!$B$364:$C$364</definedName>
    <definedName name="RD_M_1686_2007_0175">'RD_M(CV)'!$B$365:$C$365</definedName>
    <definedName name="RD_M_1686_2007_0176">'RD_M(CV)'!$B$366:$C$366</definedName>
    <definedName name="RD_M_1686_2007_0177">'RD_M(CV)'!$B$367:$C$367</definedName>
    <definedName name="RD_M_1686_2011_1158">'RD_M(CV)'!$B$368:$D$368</definedName>
    <definedName name="RD_M_1686_2011_1159">'RD_M(CV)'!$B$369:$C$369</definedName>
    <definedName name="RD_M_1686_2011_1160">'RD_M(CV)'!$B$370:$C$370</definedName>
    <definedName name="RD_M_1686_2011_1161">'RD_M(CV)'!$B$371:$C$371</definedName>
    <definedName name="RD_M_1686_2011_1162">'RD_M(CV)'!$B$372:$C$372</definedName>
    <definedName name="RD_M_1686_2011_1163">'RD_M(CV)'!$B$373:$C$373</definedName>
    <definedName name="RD_M_1686_2011_1164">'RD_M(CV)'!$B$374:$D$374</definedName>
    <definedName name="RD_M_1686_2011_1165">'RD_M(CV)'!$B$375:$C$375</definedName>
    <definedName name="RD_M_1686_2011_1167">'RD_M(CV)'!$B$376:$C$376</definedName>
    <definedName name="RD_M_1687_2007_0002">'RD_M(CV)'!$B$377:$C$377</definedName>
    <definedName name="RD_M_1687_2007_0007">'RD_M(CV)'!$B$378:$G$378</definedName>
    <definedName name="RD_M_1687_2007_0160">'RD_M(CV)'!$B$379:$C$379</definedName>
    <definedName name="RD_M_1687_2007_0161">'RD_M(CV)'!$B$380:$C$380</definedName>
    <definedName name="RD_M_1687_2007_0162">'RD_M(CV)'!$B$381:$E$381</definedName>
    <definedName name="RD_M_1687_2007_0163">'RD_M(CV)'!$B$382:$G$382</definedName>
    <definedName name="RD_M_1687_2007_0164">'RD_M(CV)'!$B$383:$C$383</definedName>
    <definedName name="RD_M_1687_2007_0165">'RD_M(CV)'!$B$384:$F$384</definedName>
    <definedName name="RD_M_1687_2007_0166">'RD_M(CV)'!$B$385:$D$385</definedName>
    <definedName name="RD_M_1687_2011_0821">'RD_M(CV)'!$B$386:$C$386</definedName>
    <definedName name="RD_M_1687_2011_0854">'RD_M(CV)'!$B$387:$C$387</definedName>
    <definedName name="RD_M_1687_2011_0855">'RD_M(CV)'!$B$388:$C$388</definedName>
    <definedName name="RD_M_1687_2011_0856">'RD_M(CV)'!$B$389:$C$389</definedName>
    <definedName name="RD_M_1687_2011_0857">'RD_M(CV)'!$B$390:$C$390</definedName>
    <definedName name="RD_M_1687_2011_0858">'RD_M(CV)'!$B$391:$D$391</definedName>
    <definedName name="RD_M_1687_2011_0859">'RD_M(CV)'!$B$392:$C$392</definedName>
    <definedName name="RD_M_1687_2011_0860">'RD_M(CV)'!$B$393:$C$393</definedName>
    <definedName name="RD_M_1687_2011_0863">'RD_M(CV)'!$B$394:$C$394</definedName>
    <definedName name="RD_M_1688_2007_0081">'RD_M(CV)'!$B$395:$C$395</definedName>
    <definedName name="RD_M_1688_2007_0084">'RD_M(CV)'!$B$396:$D$396</definedName>
    <definedName name="RD_M_1688_2007_0086">'RD_M(CV)'!$B$397:$I$397</definedName>
    <definedName name="RD_M_1688_2011_1227">'RD_M(CV)'!$B$398:$C$398</definedName>
    <definedName name="RD_M_1688_2011_1228">'RD_M(CV)'!$B$399:$C$399</definedName>
    <definedName name="RD_M_1688_2011_1231">'RD_M(CV)'!$B$400:$D$400</definedName>
    <definedName name="RD_M_1688_2011_1232">'RD_M(CV)'!$B$401:$C$401</definedName>
    <definedName name="RD_M_1688_2011_1234">'RD_M(CV)'!$B$402:$E$402</definedName>
    <definedName name="RD_M_1689_2007_0020">'RD_M(CV)'!$B$403:$C$403</definedName>
    <definedName name="RD_M_1689_2007_0100">'RD_M(CV)'!$B$404:$C$404</definedName>
    <definedName name="RD_M_1689_2007_0101">'RD_M(CV)'!$B$405:$C$405</definedName>
    <definedName name="RD_M_1689_2007_0102">'RD_M(CV)'!$B$406:$C$406</definedName>
    <definedName name="RD_M_1689_2007_0103">'RD_M(CV)'!$B$407:$E$407</definedName>
    <definedName name="RD_M_1689_2007_0104">'RD_M(CV)'!$B$408:$C$408</definedName>
    <definedName name="RD_M_1689_2007_0105">'RD_M(CV)'!$B$409:$D$409</definedName>
    <definedName name="RD_M_1689_2011_0996">'RD_M(CV)'!$B$410:$D$410</definedName>
    <definedName name="RD_M_1689_2011_1194">'RD_M(CV)'!$B$411:$D$411</definedName>
    <definedName name="RD_M_1689_2011_1195">'RD_M(CV)'!$B$412:$C$412</definedName>
    <definedName name="RD_M_1689_2011_1198">'RD_M(CV)'!$B$413:$C$413</definedName>
    <definedName name="RD_M_1689_2011_1199">'RD_M(CV)'!$B$414:$C$414</definedName>
    <definedName name="RD_M_1689_2011_1200">'RD_M(CV)'!$B$415:$E$415</definedName>
    <definedName name="RD_M_1690_2007_0045">'RD_M(CV)'!$B$416:$D$416</definedName>
    <definedName name="RD_M_1690_2007_0152">'RD_M(CV)'!$B$417:$C$417</definedName>
    <definedName name="RD_M_1690_2007_0153">'RD_M(CV)'!$B$418:$C$418</definedName>
    <definedName name="RD_M_1691_2007_0221">'RD_M(CV)'!$B$419:$D$419</definedName>
    <definedName name="RD_M_1691_2007_0222">'RD_M(CV)'!$B$420:$E$420</definedName>
    <definedName name="RD_M_1691_2007_0223">'RD_M(CV)'!$B$421:$D$421</definedName>
    <definedName name="RD_M_1691_2007_0224">'RD_M(CV)'!$B$422:$D$422</definedName>
    <definedName name="RD_M_1691_2007_0225">'RD_M(CV)'!$B$423:$D$423</definedName>
    <definedName name="RD_M_1691_2007_0227">'RD_M(CV)'!$B$424:$C$424</definedName>
    <definedName name="RD_M_1691_2007_0228">'RD_M(CV)'!$B$425:$C$425</definedName>
    <definedName name="RD_M_1691_2011_0798">'RD_M(CV)'!$B$426:$C$426</definedName>
    <definedName name="RD_M_1691_2011_0799">'RD_M(CV)'!$B$427:$C$427</definedName>
    <definedName name="RD_M_1691_2011_0800">'RD_M(CV)'!$B$428:$D$428</definedName>
    <definedName name="RD_M_1691_2011_0802">'RD_M(CV)'!$B$429:$D$429</definedName>
    <definedName name="RD_M_1691_2011_0803">'RD_M(CV)'!$B$430:$C$430</definedName>
    <definedName name="RD_M_1691_2011_0805">'RD_M(CV)'!$B$431:$C$431</definedName>
    <definedName name="RD_M_1692_2007_0006">'RD_M(CV)'!$B$432:$E$432</definedName>
    <definedName name="RD_M_1692_2007_0007">'RD_M(CV)'!$B$433:$G$433</definedName>
    <definedName name="RD_M_1692_2007_0091">'RD_M(CV)'!$B$434:$C$434</definedName>
    <definedName name="RD_M_1692_2007_0092">'RD_M(CV)'!$B$435:$D$435</definedName>
    <definedName name="RD_M_1692_2007_0093">'RD_M(CV)'!$B$436:$C$436</definedName>
    <definedName name="RD_M_1692_2007_0094">'RD_M(CV)'!$B$437:$C$437</definedName>
    <definedName name="RD_M_1692_2007_0095">'RD_M(CV)'!$B$438:$C$438</definedName>
    <definedName name="RD_M_174_2008_0162">'RD_M(CV)'!$B$439:$C$439</definedName>
    <definedName name="RD_M_174_2008_0163">'RD_M(CV)'!$B$440:$G$440</definedName>
    <definedName name="RD_M_174_2008_0165">'RD_M(CV)'!$B$441:$F$441</definedName>
    <definedName name="RD_M_174_2008_0245">'RD_M(CV)'!$B$442:$D$442</definedName>
    <definedName name="RD_M_174_2008_0246">'RD_M(CV)'!$B$443:$C$443</definedName>
    <definedName name="RD_M_174_2008_0247">'RD_M(CV)'!$B$444:$C$444</definedName>
    <definedName name="RD_M_174_2008_0248">'RD_M(CV)'!$B$445:$C$445</definedName>
    <definedName name="RD_M_174_2008_0249">'RD_M(CV)'!$B$446:$C$446</definedName>
    <definedName name="RD_M_174_2013_1417">'RD_M(CV)'!$B$447:$D$447</definedName>
    <definedName name="RD_M_174_2013_1478">'RD_M(CV)'!$B$448:$C$448</definedName>
    <definedName name="RD_M_174_2013_1479">'RD_M(CV)'!$B$449:$C$449</definedName>
    <definedName name="RD_M_174_2013_1480">'RD_M(CV)'!$B$450:$C$450</definedName>
    <definedName name="RD_M_174_2013_1481">'RD_M(CV)'!$B$451:$D$451</definedName>
    <definedName name="RD_M_174_2013_1482">'RD_M(CV)'!$B$452:$C$452</definedName>
    <definedName name="RD_M_174_2013_1485">'RD_M(CV)'!$B$453:$C$453</definedName>
    <definedName name="RD_M_175_2008_0185">'RD_M(CV)'!$B$454:$E$454</definedName>
    <definedName name="RD_M_175_2008_0186">'RD_M(CV)'!$B$455:$D$455</definedName>
    <definedName name="RD_M_175_2008_0187">'RD_M(CV)'!$B$456:$D$456</definedName>
    <definedName name="RD_M_175_2008_0188">'RD_M(CV)'!$B$457:$C$457</definedName>
    <definedName name="RD_M_175_2008_0189">'RD_M(CV)'!$B$458:$C$458</definedName>
    <definedName name="RD_M_175_2008_0190">'RD_M(CV)'!$B$459:$C$459</definedName>
    <definedName name="RD_M_175_2008_0191">'RD_M(CV)'!$B$460:$C$460</definedName>
    <definedName name="RD_M_175_2008_0194">'RD_M(CV)'!$B$461:$E$461</definedName>
    <definedName name="RD_M_175_2013_1417">'RD_M(CV)'!$B$462:$D$462</definedName>
    <definedName name="RD_M_175_2013_1478">'RD_M(CV)'!$B$463:$C$463</definedName>
    <definedName name="RD_M_175_2013_1479">'RD_M(CV)'!$B$464:$C$464</definedName>
    <definedName name="RD_M_175_2013_1480">'RD_M(CV)'!$B$465:$C$465</definedName>
    <definedName name="RD_M_175_2013_1538">'RD_M(CV)'!$B$466:$C$466</definedName>
    <definedName name="RD_M_175_2013_1539">'RD_M(CV)'!$B$467:$C$467</definedName>
    <definedName name="RD_M_175_2013_1540">'RD_M(CV)'!$B$468:$C$468</definedName>
    <definedName name="RD_M_175_2013_1541">'RD_M(CV)'!$B$469:$C$469</definedName>
    <definedName name="RD_M_176_2008_0254">'RD_M(CV)'!$B$470:$C$470</definedName>
    <definedName name="RD_M_176_2008_0255">'RD_M(CV)'!$B$471:$C$471</definedName>
    <definedName name="RD_M_176_2008_0256">'RD_M(CV)'!$B$472:$C$472</definedName>
    <definedName name="RD_M_176_2008_0257">'RD_M(CV)'!$B$473:$C$473</definedName>
    <definedName name="RD_M_176_2008_0258">'RD_M(CV)'!$B$474:$C$474</definedName>
    <definedName name="RD_M_176_2008_0259">'RD_M(CV)'!$B$475:$C$475</definedName>
    <definedName name="RD_M_176_2008_0260">'RD_M(CV)'!$B$476:$H$476</definedName>
    <definedName name="RD_M_177_2008_0232">'RD_M(CV)'!$B$477:$E$477</definedName>
    <definedName name="RD_M_177_2008_0233">'RD_M(CV)'!$B$478:$D$478</definedName>
    <definedName name="RD_M_177_2008_0234">'RD_M(CV)'!$B$479:$G$479</definedName>
    <definedName name="RD_M_177_2008_0235">'RD_M(CV)'!$B$480:$C$480</definedName>
    <definedName name="RD_M_177_2008_0236">'RD_M(CV)'!$B$481:$C$481</definedName>
    <definedName name="RD_M_177_2008_0237">'RD_M(CV)'!$B$482:$D$482</definedName>
    <definedName name="RD_M_177_2008_0238">'RD_M(CV)'!$B$483:$C$483</definedName>
    <definedName name="RD_M_177_2008_0240">'RD_M(CV)'!$B$484:$C$484</definedName>
    <definedName name="RD_M_178_2008_0109">'RD_M(CV)'!$B$485:$F$485</definedName>
    <definedName name="RD_M_178_2008_0110">'RD_M(CV)'!$B$486:$C$486</definedName>
    <definedName name="RD_M_178_2008_0111">'RD_M(CV)'!$B$487:$C$487</definedName>
    <definedName name="RD_M_178_2008_0112">'RD_M(CV)'!$B$488:$E$488</definedName>
    <definedName name="RD_M_178_2008_0113">'RD_M(CV)'!$B$489:$E$489</definedName>
    <definedName name="RD_M_178_2008_0114">'RD_M(CV)'!$B$490:$F$490</definedName>
    <definedName name="RD_M_178_2008_0115">'RD_M(CV)'!$B$491:$G$491</definedName>
    <definedName name="RD_M_178_2008_0116">'RD_M(CV)'!$B$492:$C$492</definedName>
    <definedName name="RD_M_1792_2010_0036">'RD_M(CV)'!$B$493:$C$493</definedName>
    <definedName name="RD_M_1792_2010_0037">'RD_M(CV)'!$B$494:$G$494</definedName>
    <definedName name="RD_M_1792_2010_0038">'RD_M(CV)'!$B$495:$H$495</definedName>
    <definedName name="RD_M_1792_2010_0302">'RD_M(CV)'!$B$496:$E$496</definedName>
    <definedName name="RD_M_1792_2010_0310">'RD_M(CV)'!$B$497:$E$497</definedName>
    <definedName name="RD_M_1792_2010_0392">'RD_M(CV)'!$B$498:$C$498</definedName>
    <definedName name="RD_M_1792_2010_0393">'RD_M(CV)'!$B$499:$E$499</definedName>
    <definedName name="RD_M_1793_2010_0036">'RD_M(CV)'!$B$500:$C$500</definedName>
    <definedName name="RD_M_1793_2010_0037">'RD_M(CV)'!$B$501:$G$501</definedName>
    <definedName name="RD_M_1793_2010_0038">'RD_M(CV)'!$B$502:$H$502</definedName>
    <definedName name="RD_M_1793_2010_0040">'RD_M(CV)'!$B$503:$C$503</definedName>
    <definedName name="RD_M_1793_2010_0041">'RD_M(CV)'!$B$504:$C$504</definedName>
    <definedName name="RD_M_1793_2010_0042">'RD_M(CV)'!$B$505:$D$505</definedName>
    <definedName name="RD_M_1796_2008_0291">'RD_M(CV)'!$B$506:$C$506</definedName>
    <definedName name="RD_M_1796_2008_0292">'RD_M(CV)'!$B$507:$C$507</definedName>
    <definedName name="RD_M_1796_2008_0293">'RD_M(CV)'!$B$508:$D$508</definedName>
    <definedName name="RD_M_1796_2008_0294">'RD_M(CV)'!$B$509:$C$509</definedName>
    <definedName name="RD_M_1796_2008_0295">'RD_M(CV)'!$B$510:$C$510</definedName>
    <definedName name="RD_M_1796_2008_0296">'RD_M(CV)'!$B$511:$C$511</definedName>
    <definedName name="RD_M_1796_2008_0297">'RD_M(CV)'!$B$512:$C$512</definedName>
    <definedName name="RD_M_1797_2008_0163">'RD_M(CV)'!$B$513:$C$513</definedName>
    <definedName name="RD_M_1797_2008_0165">'RD_M(CV)'!$B$514:$C$514</definedName>
    <definedName name="RD_M_1797_2008_0303">'RD_M(CV)'!$B$515:$C$515</definedName>
    <definedName name="RD_M_1797_2008_0304">'RD_M(CV)'!$B$516:$C$516</definedName>
    <definedName name="RD_M_1797_2008_0305">'RD_M(CV)'!$B$517:$C$517</definedName>
    <definedName name="RD_M_1797_2008_0306">'RD_M(CV)'!$B$518:$C$518</definedName>
    <definedName name="RD_M_1797_2008_0307">'RD_M(CV)'!$B$519:$C$519</definedName>
    <definedName name="RD_M_1797_2008_0308">'RD_M(CV)'!$B$520:$C$520</definedName>
    <definedName name="RD_M_1797_2008_0311">'RD_M(CV)'!$B$521:$C$521</definedName>
    <definedName name="RD_M_1797_2008_0312">'RD_M(CV)'!$B$522:$C$522</definedName>
    <definedName name="RD_M_1798_2008_0030">'RD_M(CV)'!$B$523:$J$523</definedName>
    <definedName name="RD_M_1798_2008_0031">'RD_M(CV)'!$B$524:$D$524</definedName>
    <definedName name="RD_M_1798_2008_0116">'RD_M(CV)'!$B$525:$F$525</definedName>
    <definedName name="RD_M_1798_2008_0146">'RD_M(CV)'!$B$526:$D$526</definedName>
    <definedName name="RD_M_1798_2008_0316">'RD_M(CV)'!$B$527:$D$527</definedName>
    <definedName name="RD_M_1798_2008_0317">'RD_M(CV)'!$B$528:$C$528</definedName>
    <definedName name="RD_M_1798_2008_0318">'RD_M(CV)'!$B$529:$C$529</definedName>
    <definedName name="RD_M_1798_2008_0319">'RD_M(CV)'!$B$530:$C$530</definedName>
    <definedName name="RD_M_1798_2008_0320">'RD_M(CV)'!$B$531:$C$531</definedName>
    <definedName name="RD_M_1798_2008_0321">'RD_M(CV)'!$B$532:$D$532</definedName>
    <definedName name="RD_M_219_2008_0120">'RD_M(CV)'!$B$533:$E$533</definedName>
    <definedName name="RD_M_219_2008_0121">'RD_M(CV)'!$B$534:$D$534</definedName>
    <definedName name="RD_M_219_2008_0122">'RD_M(CV)'!$B$535:$D$535</definedName>
    <definedName name="RD_M_219_2008_0123">'RD_M(CV)'!$B$536:$C$536</definedName>
    <definedName name="RD_M_219_2008_0124">'RD_M(CV)'!$B$537:$D$537</definedName>
    <definedName name="RD_M_219_2008_0125">'RD_M(CV)'!$B$538:$C$538</definedName>
    <definedName name="RD_M_219_2008_0126">'RD_M(CV)'!$B$539:$C$539</definedName>
    <definedName name="RD_M_219_2008_0127">'RD_M(CV)'!$B$540:$C$540</definedName>
    <definedName name="RD_M_219_2008_0128">'RD_M(CV)'!$B$541:$C$541</definedName>
    <definedName name="RD_M_220_2008_0120">'RD_M(CV)'!$B$542:$E$542</definedName>
    <definedName name="RD_M_220_2008_0121">'RD_M(CV)'!$B$543:$D$543</definedName>
    <definedName name="RD_M_220_2008_0122">'RD_M(CV)'!$B$544:$D$544</definedName>
    <definedName name="RD_M_220_2008_0123">'RD_M(CV)'!$B$545:$D$545</definedName>
    <definedName name="RD_M_220_2008_0124">'RD_M(CV)'!$B$546:$D$546</definedName>
    <definedName name="RD_M_220_2008_0133">'RD_M(CV)'!$B$547:$C$547</definedName>
    <definedName name="RD_M_220_2008_0134">'RD_M(CV)'!$B$548:$D$548</definedName>
    <definedName name="RD_M_220_2008_0135">'RD_M(CV)'!$B$549:$C$549</definedName>
    <definedName name="RD_M_220_2008_0136">'RD_M(CV)'!$B$550:$C$550</definedName>
    <definedName name="RD_M_254_2011_0703">'RD_M(CV)'!$B$551:$C$551</definedName>
    <definedName name="RD_M_254_2011_0704">'RD_M(CV)'!$B$552:$C$552</definedName>
    <definedName name="RD_M_254_2011_0705">'RD_M(CV)'!$B$553:$C$553</definedName>
    <definedName name="RD_M_254_2011_0706">'RD_M(CV)'!$B$554:$E$554</definedName>
    <definedName name="RD_M_254_2011_0707">'RD_M(CV)'!$B$555:$C$555</definedName>
    <definedName name="RD_M_254_2011_0708">'RD_M(CV)'!$B$556:$C$556</definedName>
    <definedName name="RD_M_254_2011_0709">'RD_M(CV)'!$B$557:$C$557</definedName>
    <definedName name="RD_M_255_2011_0260">'RD_M(CV)'!$B$558:$H$558</definedName>
    <definedName name="RD_M_255_2011_0452">'RD_M(CV)'!$B$559:$E$559</definedName>
    <definedName name="RD_M_255_2011_0456">'RD_M(CV)'!$B$560:$C$560</definedName>
    <definedName name="RD_M_255_2011_0742">'RD_M(CV)'!$B$561:$D$561</definedName>
    <definedName name="RD_M_256_2011_0633">'RD_M(CV)'!$B$562:$C$562</definedName>
    <definedName name="RD_M_256_2011_0634">'RD_M(CV)'!$B$563:$C$563</definedName>
    <definedName name="RD_M_256_2011_0635">'RD_M(CV)'!$B$564:$C$564</definedName>
    <definedName name="RD_M_256_2011_0636">'RD_M(CV)'!$B$565:$C$565</definedName>
    <definedName name="RD_M_256_2011_0637">'RD_M(CV)'!$B$566:$C$566</definedName>
    <definedName name="RD_M_256_2011_0640">'RD_M(CV)'!$B$567:$D$567</definedName>
    <definedName name="RD_M_256_2011_0641">'RD_M(CV)'!$B$568:$C$568</definedName>
    <definedName name="RD_M_256_2011_0643">'RD_M(CV)'!$B$569:$F$569</definedName>
    <definedName name="RD_M_257_2011_0116">'RD_M(CV)'!$B$570:$C$570</definedName>
    <definedName name="RD_M_257_2011_0267">'RD_M(CV)'!$B$571:$D$571</definedName>
    <definedName name="RD_M_257_2011_0269">'RD_M(CV)'!$B$572:$D$572</definedName>
    <definedName name="RD_M_257_2011_0275">'RD_M(CV)'!$B$573:$D$573</definedName>
    <definedName name="RD_M_257_2011_0603">'RD_M(CV)'!$B$574:$C$574</definedName>
    <definedName name="RD_M_257_2011_0604">'RD_M(CV)'!$B$575:$C$575</definedName>
    <definedName name="RD_M_259_2011_0691">'RD_M(CV)'!$B$576:$D$576</definedName>
    <definedName name="RD_M_259_2011_0692">'RD_M(CV)'!$B$577:$C$577</definedName>
    <definedName name="RD_M_259_2011_0694">'RD_M(CV)'!$B$578:$D$578</definedName>
    <definedName name="RD_M_259_2011_0695">'RD_M(CV)'!$B$579:$C$579</definedName>
    <definedName name="RD_M_259_2011_0696">'RD_M(CV)'!$B$580:$C$580</definedName>
    <definedName name="RD_M_259_2011_0697">'RD_M(CV)'!$B$581:$C$581</definedName>
    <definedName name="RD_M_259_2011_0698">'RD_M(CV)'!$B$582:$C$582</definedName>
    <definedName name="RD_M_260_2011_0692">'RD_M(CV)'!$B$583:$C$583</definedName>
    <definedName name="RD_M_260_2011_0693">'RD_M(CV)'!$B$584:$C$584</definedName>
    <definedName name="RD_M_260_2011_0694">'RD_M(CV)'!$B$585:$D$585</definedName>
    <definedName name="RD_M_260_2011_0810">'RD_M(CV)'!$B$586:$C$586</definedName>
    <definedName name="RD_M_260_2011_0811">'RD_M(CV)'!$B$587:$D$587</definedName>
    <definedName name="RD_M_260_2011_0812">'RD_M(CV)'!$B$588:$C$588</definedName>
    <definedName name="RD_M_260_2011_0813">'RD_M(CV)'!$B$589:$C$589</definedName>
    <definedName name="RD_M_260_2011_0814">'RD_M(CV)'!$B$590:$C$590</definedName>
    <definedName name="RD_M_260_2011_0815">'RD_M(CV)'!$B$591:$D$591</definedName>
    <definedName name="RD_M_260_2011_0816">'RD_M(CV)'!$B$592:$C$592</definedName>
    <definedName name="RD_M_386_2011_0562">'RD_M(CV)'!$B$593:$C$593</definedName>
    <definedName name="RD_M_386_2011_0563">'RD_M(CV)'!$B$594:$D$594</definedName>
    <definedName name="RD_M_386_2011_0564">'RD_M(CV)'!$B$595:$D$595</definedName>
    <definedName name="RD_M_386_2011_0565">'RD_M(CV)'!$B$596:$C$596</definedName>
    <definedName name="RD_M_386_2011_0566">'RD_M(CV)'!$B$597:$C$597</definedName>
    <definedName name="RD_M_386_2011_0769">'RD_M(CV)'!$B$598:$C$598</definedName>
    <definedName name="RD_M_386_2011_0770">'RD_M(CV)'!$B$599:$E$599</definedName>
    <definedName name="RD_M_386_2011_0771">'RD_M(CV)'!$B$600:$C$600</definedName>
    <definedName name="RD_M_386_2011_0772">'RD_M(CV)'!$B$601:$D$601</definedName>
    <definedName name="RD_M_386_2011_0773">'RD_M(CV)'!$B$602:$C$602</definedName>
    <definedName name="RD_M_387_2011_0006">'RD_M(CV)'!$B$603:$E$603</definedName>
    <definedName name="RD_M_387_2011_0007">'RD_M(CV)'!$B$604:$H$604</definedName>
    <definedName name="RD_M_387_2011_0722">'RD_M(CV)'!$B$605:$G$605</definedName>
    <definedName name="RD_M_387_2011_0723">'RD_M(CV)'!$B$606:$C$606</definedName>
    <definedName name="RD_M_387_2011_0724">'RD_M(CV)'!$B$607:$D$607</definedName>
    <definedName name="RD_M_387_2011_0725">'RD_M(CV)'!$B$608:$D$608</definedName>
    <definedName name="RD_M_387_2011_0726">'RD_M(CV)'!$B$609:$C$609</definedName>
    <definedName name="RD_M_450_2010_0483">'RD_M(CV)'!$B$610:$G$610</definedName>
    <definedName name="RD_M_450_2010_0484">'RD_M(CV)'!$B$611:$G$611</definedName>
    <definedName name="RD_M_450_2010_0485">'RD_M(CV)'!$B$612:$D$612</definedName>
    <definedName name="RD_M_450_2010_0486">'RD_M(CV)'!$B$613:$C$613</definedName>
    <definedName name="RD_M_450_2010_0487">'RD_M(CV)'!$B$614:$D$614</definedName>
    <definedName name="RD_M_450_2010_0488">'RD_M(CV)'!$B$615:$C$615</definedName>
    <definedName name="RD_M_450_2010_0489">'RD_M(CV)'!$B$616:$C$616</definedName>
    <definedName name="RD_M_451_2010_0084">'RD_M(CV)'!$B$617:$F$617</definedName>
    <definedName name="RD_M_451_2010_0086">'RD_M(CV)'!$B$618:$K$618</definedName>
    <definedName name="RD_M_451_2010_0191">'RD_M(CV)'!$B$619:$D$619</definedName>
    <definedName name="RD_M_451_2010_0462">'RD_M(CV)'!$B$620:$C$620</definedName>
    <definedName name="RD_M_451_2010_0464">'RD_M(CV)'!$B$621:$D$621</definedName>
    <definedName name="RD_M_451_2010_0465">'RD_M(CV)'!$B$622:$C$622</definedName>
    <definedName name="RD_M_451_2010_0466">'RD_M(CV)'!$B$623:$C$623</definedName>
    <definedName name="RD_M_451_2010_0467">'RD_M(CV)'!$B$624:$C$624</definedName>
    <definedName name="RD_M_451_2010_0469">'RD_M(CV)'!$B$625:$C$625</definedName>
    <definedName name="RD_M_452_2010_0030">'RD_M(CV)'!$B$626:$K$626</definedName>
    <definedName name="RD_M_452_2010_0031">'RD_M(CV)'!$B$627:$I$627</definedName>
    <definedName name="RD_M_452_2010_0116">'RD_M(CV)'!$B$628:$J$628</definedName>
    <definedName name="RD_M_452_2010_0141">'RD_M(CV)'!$B$629:$E$629</definedName>
    <definedName name="RD_M_452_2010_0142">'RD_M(CV)'!$B$630:$E$630</definedName>
    <definedName name="RD_M_452_2010_0143">'RD_M(CV)'!$B$631:$D$631</definedName>
    <definedName name="RD_M_452_2010_0145">'RD_M(CV)'!$B$632:$E$632</definedName>
    <definedName name="RD_M_452_2010_0146">'RD_M(CV)'!$B$633:$D$633</definedName>
    <definedName name="RD_M_453_2010_0260">'RD_M(CV)'!$B$634:$H$634</definedName>
    <definedName name="RD_M_453_2010_0452">'RD_M(CV)'!$B$635:$E$635</definedName>
    <definedName name="RD_M_453_2010_0453">'RD_M(CV)'!$B$636:$C$636</definedName>
    <definedName name="RD_M_453_2010_0454">'RD_M(CV)'!$B$637:$C$637</definedName>
    <definedName name="RD_M_453_2010_0456">'RD_M(CV)'!$B$638:$C$638</definedName>
    <definedName name="RD_M_453_2010_0457">'RD_M(CV)'!$B$639:$D$639</definedName>
    <definedName name="RD_M_453_2010_0458">'RD_M(CV)'!$B$640:$C$640</definedName>
    <definedName name="RD_M_454_2010_0116">'RD_M(CV)'!$B$641:$C$641</definedName>
    <definedName name="RD_M_454_2010_0417">'RD_M(CV)'!$B$642:$C$642</definedName>
    <definedName name="RD_M_454_2010_0418">'RD_M(CV)'!$B$643:$C$643</definedName>
    <definedName name="RD_M_454_2010_0419">'RD_M(CV)'!$B$644:$C$644</definedName>
    <definedName name="RD_M_454_2010_0420">'RD_M(CV)'!$B$645:$C$645</definedName>
    <definedName name="RD_M_454_2010_0422">'RD_M(CV)'!$B$646:$C$646</definedName>
    <definedName name="RD_M_553_2012_1267">'RD_M(CV)'!$B$647:$C$647</definedName>
    <definedName name="RD_M_554_2012_0116">'RD_M(CV)'!$B$648:$C$648</definedName>
    <definedName name="RD_M_554_2012_1249">'RD_M(CV)'!$B$649:$D$649</definedName>
    <definedName name="RD_M_554_2012_1250">'RD_M(CV)'!$B$650:$E$650</definedName>
    <definedName name="RD_M_554_2012_1251">'RD_M(CV)'!$B$651:$C$651</definedName>
    <definedName name="RD_M_554_2012_1252">'RD_M(CV)'!$B$652:$C$652</definedName>
    <definedName name="RD_M_554_2012_1253">'RD_M(CV)'!$B$653:$C$653</definedName>
    <definedName name="RD_M_554_2012_1254">'RD_M(CV)'!$B$654:$C$654</definedName>
    <definedName name="RD_M_554_2012_1255">'RD_M(CV)'!$B$655:$C$655</definedName>
    <definedName name="RD_M_554_2012_1256">'RD_M(CV)'!$B$656:$C$656</definedName>
    <definedName name="RD_M_555_2012_1210">'RD_M(CV)'!$B$657:$I$657</definedName>
    <definedName name="RD_M_556_2012_1298">'RD_M(CV)'!$B$658:$C$658</definedName>
    <definedName name="RD_M_556_2012_1299">'RD_M(CV)'!$B$659:$C$659</definedName>
    <definedName name="RD_M_556_2012_1300">'RD_M(CV)'!$B$660:$C$660</definedName>
    <definedName name="RD_M_556_2012_1304">'RD_M(CV)'!$B$661:$D$661</definedName>
    <definedName name="RD_M_636_2015_0562">'RD_M(CV)'!$B$662:$C$662</definedName>
    <definedName name="RD_M_636_2015_0564">'RD_M(CV)'!$B$663:$D$663</definedName>
    <definedName name="RD_M_636_2015_0565">'RD_M(CV)'!$B$664:$D$664</definedName>
    <definedName name="RD_M_636_2015_0566">'RD_M(CV)'!$B$665:$D$665</definedName>
    <definedName name="RD_M_636_2015_1287">'RD_M(CV)'!$B$666:$E$666</definedName>
    <definedName name="RD_M_636_2015_1288">'RD_M(CV)'!$B$667:$E$667</definedName>
    <definedName name="RD_M_636_2015_1289">'RD_M(CV)'!$B$668:$D$668</definedName>
    <definedName name="RD_M_686_2010_0483">'RD_M(CV)'!$B$669:$C$669</definedName>
    <definedName name="RD_M_686_2010_0484">'RD_M(CV)'!$B$670:$C$670</definedName>
    <definedName name="RD_M_687_2010_0497">'RD_M(CV)'!$B$671:$C$671</definedName>
    <definedName name="RD_M_687_2010_0498">'RD_M(CV)'!$B$672:$C$672</definedName>
    <definedName name="RD_M_687_2010_0499">'RD_M(CV)'!$B$673:$C$673</definedName>
    <definedName name="RD_M_687_2010_0501">'RD_M(CV)'!$B$674:$D$674</definedName>
    <definedName name="RD_M_687_2010_0503">'RD_M(CV)'!$B$675:$C$675</definedName>
    <definedName name="RD_M_688_2010_0503">'RD_M(CV)'!$B$676:$C$676</definedName>
    <definedName name="RD_M_688_2010_0509">'RD_M(CV)'!$B$677:$C$677</definedName>
    <definedName name="RD_M_688_2010_0510">'RD_M(CV)'!$B$678:$C$678</definedName>
    <definedName name="RD_M_689_2010_0165">'RD_M(CV)'!$B$679:$E$679</definedName>
    <definedName name="RD_M_689_2010_0276">'RD_M(CV)'!$B$680:$D$680</definedName>
    <definedName name="RD_M_689_2010_0280">'RD_M(CV)'!$B$681:$D$681</definedName>
    <definedName name="RD_M_689_2010_0283">'RD_M(CV)'!$B$682:$C$682</definedName>
    <definedName name="RD_M_689_2010_0284">'RD_M(CV)'!$B$683:$C$683</definedName>
    <definedName name="RD_M_689_2010_0594">'RD_M(CV)'!$B$684:$C$684</definedName>
    <definedName name="RD_M_689_2010_0595">'RD_M(CV)'!$B$685:$C$685</definedName>
    <definedName name="RD_M_689_2010_0596">'RD_M(CV)'!$B$686:$C$686</definedName>
    <definedName name="RD_M_690_2010_0562">'RD_M(CV)'!$B$687:$C$687</definedName>
    <definedName name="RD_M_690_2010_0563">'RD_M(CV)'!$B$688:$C$688</definedName>
    <definedName name="RD_M_690_2010_0564">'RD_M(CV)'!$B$689:$D$689</definedName>
    <definedName name="RD_M_690_2010_0565">'RD_M(CV)'!$B$690:$C$690</definedName>
    <definedName name="RD_M_690_2010_0566">'RD_M(CV)'!$B$691:$D$691</definedName>
    <definedName name="RD_M_690_2010_0567">'RD_M(CV)'!$B$692:$C$692</definedName>
    <definedName name="RD_M_690_2010_0568">'RD_M(CV)'!$B$693:$C$693</definedName>
    <definedName name="RD_M_690_2010_0569">'RD_M(CV)'!$B$694:$C$694</definedName>
    <definedName name="RD_M_690_2010_0570">'RD_M(CV)'!$B$695:$C$695</definedName>
    <definedName name="RD_M_767_2014_1367">'RD_M(CV)'!$B$696:$C$696</definedName>
    <definedName name="RD_M_767_2014_1368">'RD_M(CV)'!$B$697:$C$697</definedName>
    <definedName name="RD_M_767_2014_1379">'RD_M(CV)'!$B$698:$C$698</definedName>
    <definedName name="RD_M_767_2014_1380">'RD_M(CV)'!$B$699:$C$699</definedName>
    <definedName name="RD_M_767_2014_1381">'RD_M(CV)'!$B$700:$C$700</definedName>
    <definedName name="RD_M_767_2014_1382">'RD_M(CV)'!$B$701:$C$701</definedName>
    <definedName name="RD_M_768_2014_0649">'RD_M(CV)'!$B$702:$F$702</definedName>
    <definedName name="RD_M_768_2014_1517">'RD_M(CV)'!$B$703:$C$703</definedName>
    <definedName name="RD_M_768_2014_1518">'RD_M(CV)'!$B$704:$C$704</definedName>
    <definedName name="RD_M_768_2014_1519">'RD_M(CV)'!$B$705:$C$705</definedName>
    <definedName name="RD_M_768_2014_1520">'RD_M(CV)'!$B$706:$C$706</definedName>
    <definedName name="RD_M_768_2014_1522">'RD_M(CV)'!$B$707:$C$707</definedName>
    <definedName name="RD_M_769_2014_0730">'RD_M(CV)'!$B$708:$C$708</definedName>
    <definedName name="RD_M_769_2014_0731">'RD_M(CV)'!$B$709:$C$709</definedName>
    <definedName name="RD_M_769_2014_0732">'RD_M(CV)'!$B$710:$C$710</definedName>
    <definedName name="RD_M_769_2014_0733">'RD_M(CV)'!$B$711:$C$711</definedName>
    <definedName name="RD_M_769_2014_0734">'RD_M(CV)'!$B$712:$C$712</definedName>
    <definedName name="RD_M_769_2014_0735">'RD_M(CV)'!$B$713:$E$713</definedName>
    <definedName name="RD_M_769_2014_0736">'RD_M(CV)'!$B$714:$C$714</definedName>
    <definedName name="RD_M_769_2014_0737">'RD_M(CV)'!$B$715:$C$715</definedName>
    <definedName name="RD_M_770_2014_1347">'RD_M(CV)'!$B$716:$C$716</definedName>
    <definedName name="RD_M_770_2014_1348">'RD_M(CV)'!$B$717:$D$717</definedName>
    <definedName name="RD_M_770_2014_1349">'RD_M(CV)'!$B$718:$C$718</definedName>
    <definedName name="RD_M_770_2014_1350">'RD_M(CV)'!$B$719:$C$719</definedName>
    <definedName name="RD_M_770_2014_1351">'RD_M(CV)'!$B$720:$C$720</definedName>
    <definedName name="RD_M_770_2014_1352">'RD_M(CV)'!$B$721:$C$721</definedName>
    <definedName name="RD_M_770_2014_1353">'RD_M(CV)'!$B$722:$C$722</definedName>
    <definedName name="RD_M_770_2014_1354">'RD_M(CV)'!$B$723:$C$723</definedName>
    <definedName name="RD_M_771_2014_1367">'RD_M(CV)'!$B$724:$C$724</definedName>
    <definedName name="RD_M_771_2014_1368">'RD_M(CV)'!$B$725:$C$725</definedName>
    <definedName name="RD_M_771_2014_1371">'RD_M(CV)'!$B$726:$C$726</definedName>
    <definedName name="RD_M_771_2014_1373">'RD_M(CV)'!$B$727:$C$727</definedName>
    <definedName name="RD_M_771_2014_1374">'RD_M(CV)'!$B$728:$C$728</definedName>
    <definedName name="RD_M_772_2014_1348">'RD_M(CV)'!$B$729:$D$729</definedName>
    <definedName name="RD_M_772_2014_1359">'RD_M(CV)'!$B$730:$C$730</definedName>
    <definedName name="RD_M_772_2014_1360">'RD_M(CV)'!$B$731:$D$731</definedName>
    <definedName name="RD_M_772_2014_1361">'RD_M(CV)'!$B$732:$C$732</definedName>
    <definedName name="RD_M_772_2014_1362">'RD_M(CV)'!$B$733:$C$733</definedName>
    <definedName name="RD_M_779_2013_0017">'RD_M(CV)'!$B$734:$E$734</definedName>
    <definedName name="RD_M_779_2013_0344">'RD_M(CV)'!$B$735:$D$735</definedName>
    <definedName name="RD_M_779_2013_1128">'RD_M(CV)'!$B$736:$C$736</definedName>
    <definedName name="RD_M_831_2014_1113">'RD_M(CV)'!$B$737:$C$737</definedName>
    <definedName name="RD_M_831_2014_1114">'RD_M(CV)'!$B$738:$C$738</definedName>
    <definedName name="RD_M_831_2014_1115">'RD_M(CV)'!$B$739:$C$739</definedName>
    <definedName name="RD_M_831_2014_1116">'RD_M(CV)'!$B$740:$C$740</definedName>
    <definedName name="RD_M_831_2014_1118">'RD_M(CV)'!$B$741:$C$741</definedName>
    <definedName name="RD_M_832_2014_1387">'RD_M(CV)'!$B$742:$C$742</definedName>
    <definedName name="RD_M_832_2014_1388">'RD_M(CV)'!$B$743:$C$743</definedName>
    <definedName name="RD_M_832_2014_1389">'RD_M(CV)'!$B$744:$C$744</definedName>
    <definedName name="RD_M_832_2014_1391">'RD_M(CV)'!$B$745:$C$745</definedName>
    <definedName name="RD_M_832_2014_1392">'RD_M(CV)'!$B$746:$C$746</definedName>
    <definedName name="RD_M_832_2014_1394">'RD_M(CV)'!$B$747:$C$747</definedName>
    <definedName name="RD_M_838_2015_1585">'RD_M(CV)'!$B$748:$F$748</definedName>
    <definedName name="RD_M_838_2015_1586">'RD_M(CV)'!$B$749:$G$749</definedName>
    <definedName name="RD_M_838_2015_1587">'RD_M(CV)'!$B$750:$D$750</definedName>
    <definedName name="RD_M_880_2011_0538">'RD_M(CV)'!$B$751:$F$751</definedName>
    <definedName name="RD_M_880_2011_0539">'RD_M(CV)'!$B$752:$D$752</definedName>
    <definedName name="RD_M_880_2011_0540">'RD_M(CV)'!$B$753:$F$753</definedName>
    <definedName name="RD_M_880_2011_0541">'RD_M(CV)'!$B$754:$F$754</definedName>
    <definedName name="RD_M_880_2011_0542">'RD_M(CV)'!$B$755:$I$755</definedName>
    <definedName name="RD_M_880_2011_0778">'RD_M(CV)'!$B$756:$D$756</definedName>
    <definedName name="RD_M_880_2011_0779">'RD_M(CV)'!$B$757:$C$757</definedName>
    <definedName name="RD_M_880_2011_0780">'RD_M(CV)'!$B$758:$C$758</definedName>
    <definedName name="RD_M_880_2011_0781">'RD_M(CV)'!$B$759:$C$759</definedName>
    <definedName name="RD_M_881_2011_0744">'RD_M(CV)'!$B$760:$C$760</definedName>
    <definedName name="RD_M_881_2011_0745">'RD_M(CV)'!$B$761:$C$761</definedName>
    <definedName name="RD_M_881_2011_0746">'RD_M(CV)'!$B$762:$C$762</definedName>
    <definedName name="RD_M_881_2011_0747">'RD_M(CV)'!$B$763:$C$763</definedName>
    <definedName name="RD_M_881_2011_0748">'RD_M(CV)'!$B$764:$C$764</definedName>
    <definedName name="RD_M_881_2011_0749">'RD_M(CV)'!$B$765:$C$765</definedName>
    <definedName name="RD_M_881_2011_0750">'RD_M(CV)'!$B$766:$C$766</definedName>
    <definedName name="RD_M_881_2011_0751">'RD_M(CV)'!$B$767:$C$767</definedName>
    <definedName name="RD_M_881_2011_0752">'RD_M(CV)'!$B$768:$C$768</definedName>
    <definedName name="RD_M_882_2011_0007">'RD_M(CV)'!$B$769:$H$769</definedName>
    <definedName name="RD_M_882_2011_0162">'RD_M(CV)'!$B$770:$F$770</definedName>
    <definedName name="RD_M_882_2011_0163">'RD_M(CV)'!$B$771:$H$771</definedName>
    <definedName name="RD_M_882_2011_0165">'RD_M(CV)'!$B$772:$G$772</definedName>
    <definedName name="RD_M_882_2011_0531">'RD_M(CV)'!$B$773:$D$773</definedName>
    <definedName name="RD_M_882_2011_0532">'RD_M(CV)'!$B$774:$D$774</definedName>
    <definedName name="RD_M_882_2011_0533">'RD_M(CV)'!$B$775:$E$775</definedName>
    <definedName name="RD_M_883_2011_0525">'RD_M(CV)'!$B$776:$C$776</definedName>
    <definedName name="RD_M_883_2011_0552">'RD_M(CV)'!$B$777:$D$777</definedName>
    <definedName name="RD_M_883_2011_0553">'RD_M(CV)'!$B$778:$C$778</definedName>
    <definedName name="RD_M_883_2011_0554">'RD_M(CV)'!$B$779:$C$779</definedName>
    <definedName name="RD_M_883_2011_0555">'RD_M(CV)'!$B$780:$C$780</definedName>
    <definedName name="RD_M_883_2011_0601">'RD_M(CV)'!$B$781:$C$781</definedName>
    <definedName name="RD_M_883_2011_0713">'RD_M(CV)'!$B$782:$C$782</definedName>
    <definedName name="RD_M_905_2013_0325">'RD_M(CV)'!$B$783:$C$783</definedName>
    <definedName name="RD_M_905_2013_0326">'RD_M(CV)'!$B$784:$C$784</definedName>
    <definedName name="RD_M_905_2013_0327">'RD_M(CV)'!$B$785:$C$785</definedName>
    <definedName name="RD_M_905_2013_0328">'RD_M(CV)'!$B$786:$C$786</definedName>
    <definedName name="RD_M_905_2013_0329">'RD_M(CV)'!$B$787:$C$787</definedName>
    <definedName name="RD_M_905_2013_0330">'RD_M(CV)'!$B$788:$C$788</definedName>
    <definedName name="RD_M_905_2013_0331">'RD_M(CV)'!$B$789:$C$789</definedName>
    <definedName name="RD_M_954_2008_0165">'RD_M(CV)'!$B$790:$E$790</definedName>
    <definedName name="RD_M_954_2008_0276">'RD_M(CV)'!$B$791:$D$791</definedName>
    <definedName name="RD_M_954_2008_0278">'RD_M(CV)'!$B$792:$C$792</definedName>
    <definedName name="RD_M_954_2008_0280">'RD_M(CV)'!$B$793:$D$793</definedName>
    <definedName name="RD_M_954_2008_0283">'RD_M(CV)'!$B$794:$D$794</definedName>
    <definedName name="RD_M_954_2008_0284">'RD_M(CV)'!$B$795:$C$795</definedName>
    <definedName name="RD_M_954_2008_0285">'RD_M(CV)'!$B$796:$C$796</definedName>
    <definedName name="RD_M_954_2008_0286">'RD_M(CV)'!$B$797:$C$797</definedName>
    <definedName name="RD_M_955_2008_0116">'RD_M(CV)'!$B$798:$C$798</definedName>
    <definedName name="RD_M_955_2008_0267">'RD_M(CV)'!$B$799:$D$799</definedName>
    <definedName name="RD_M_955_2008_0269">'RD_M(CV)'!$B$800:$D$800</definedName>
    <definedName name="RD_M_955_2008_0270">'RD_M(CV)'!$B$801:$C$801</definedName>
    <definedName name="RD_M_955_2008_0271">'RD_M(CV)'!$B$802:$C$802</definedName>
    <definedName name="RD_M_955_2008_0275">'RD_M(CV)'!$B$803:$D$803</definedName>
    <definedName name="Superior">T_Títulos!$D$130:$D$298</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8" i="2" l="1"/>
  <c r="B158" i="2"/>
  <c r="C10" i="1" l="1"/>
  <c r="C1" i="1" l="1"/>
  <c r="A158" i="2"/>
  <c r="C9" i="1" l="1"/>
  <c r="C13" i="1"/>
  <c r="C12" i="1" l="1"/>
  <c r="C11" i="1"/>
  <c r="C21" i="1"/>
  <c r="A10" i="17" l="1"/>
  <c r="A4" i="17"/>
  <c r="C30" i="1"/>
  <c r="A22" i="17" l="1"/>
  <c r="A30" i="15"/>
  <c r="B27" i="15"/>
  <c r="A27" i="15"/>
  <c r="A20" i="16"/>
  <c r="B20" i="16"/>
  <c r="A46" i="16" l="1"/>
  <c r="E41" i="16"/>
  <c r="A5" i="16"/>
  <c r="E41" i="15"/>
  <c r="A46" i="15"/>
  <c r="A5" i="15"/>
  <c r="A48" i="16" l="1"/>
  <c r="A35" i="17"/>
  <c r="A48" i="15"/>
  <c r="C15" i="1" l="1"/>
  <c r="C14" i="1"/>
  <c r="A9" i="16" l="1"/>
  <c r="A9" i="15"/>
</calcChain>
</file>

<file path=xl/sharedStrings.xml><?xml version="1.0" encoding="utf-8"?>
<sst xmlns="http://schemas.openxmlformats.org/spreadsheetml/2006/main" count="14804" uniqueCount="5581">
  <si>
    <t>ALUMNADO</t>
  </si>
  <si>
    <t>DNI</t>
  </si>
  <si>
    <t>GRADO</t>
  </si>
  <si>
    <t>Superior</t>
  </si>
  <si>
    <t>CICLO</t>
  </si>
  <si>
    <t>CURSO</t>
  </si>
  <si>
    <t>MÓDULO SOLICITADO</t>
  </si>
  <si>
    <t>CÓDIGO</t>
  </si>
  <si>
    <t>TÍTULO</t>
  </si>
  <si>
    <t>RESULTADO</t>
  </si>
  <si>
    <t>Alumno/a</t>
  </si>
  <si>
    <t>DNI/Pasaporte</t>
  </si>
  <si>
    <t>Curso</t>
  </si>
  <si>
    <t>Alumnado_0001</t>
  </si>
  <si>
    <t>Alumnado_0002</t>
  </si>
  <si>
    <t>Alumnado_0010</t>
  </si>
  <si>
    <t>Alumnado_0011</t>
  </si>
  <si>
    <t>Alumnado_0012</t>
  </si>
  <si>
    <t>Alumnado_0013</t>
  </si>
  <si>
    <t>Alumnado_0014</t>
  </si>
  <si>
    <t>Alumnado_0016</t>
  </si>
  <si>
    <t>Alumnado_0017</t>
  </si>
  <si>
    <t>Alumnado_0018</t>
  </si>
  <si>
    <t>Alumnado_0019</t>
  </si>
  <si>
    <t>Alumnado_0020</t>
  </si>
  <si>
    <t>Alumnado_0022</t>
  </si>
  <si>
    <t>Alumnado_0023</t>
  </si>
  <si>
    <t>Alumnado_0025</t>
  </si>
  <si>
    <t>Alumnado_0026</t>
  </si>
  <si>
    <t>Alumnado_0027</t>
  </si>
  <si>
    <t>Alumnado_0029</t>
  </si>
  <si>
    <t>Alumnado_0030</t>
  </si>
  <si>
    <t>Alumnado_0031</t>
  </si>
  <si>
    <t>Alumnado_0032</t>
  </si>
  <si>
    <t>Alumnado_0033</t>
  </si>
  <si>
    <t>Alumnado_0034</t>
  </si>
  <si>
    <t>Alumnado_0035</t>
  </si>
  <si>
    <t>Alumnado_0036</t>
  </si>
  <si>
    <t>Alumnado_0037</t>
  </si>
  <si>
    <t>Alumnado_0038</t>
  </si>
  <si>
    <t>Alumnado_0041</t>
  </si>
  <si>
    <t>Alumnado_0042</t>
  </si>
  <si>
    <t>Alumnado_0043</t>
  </si>
  <si>
    <t>Alumnado_0044</t>
  </si>
  <si>
    <t>Alumnado_0045</t>
  </si>
  <si>
    <t>Alumnado_0046</t>
  </si>
  <si>
    <t>Alumnado_0047</t>
  </si>
  <si>
    <t>Alumnado_0048</t>
  </si>
  <si>
    <t>Alumnado_0049</t>
  </si>
  <si>
    <t>Alumnado_0050</t>
  </si>
  <si>
    <t>Alumnado_0051</t>
  </si>
  <si>
    <t>Alumnado_0052</t>
  </si>
  <si>
    <t>Alumnado_0053</t>
  </si>
  <si>
    <t>Alumnado_0054</t>
  </si>
  <si>
    <t>Alumnado_0055</t>
  </si>
  <si>
    <t>Alumnado_0056</t>
  </si>
  <si>
    <t>Alumnado_0057</t>
  </si>
  <si>
    <t>Alumnado_0058</t>
  </si>
  <si>
    <t>Alumnado_0059</t>
  </si>
  <si>
    <t>Alumnado_0060</t>
  </si>
  <si>
    <t>Alumnado_0061</t>
  </si>
  <si>
    <t>Alumnado_0062</t>
  </si>
  <si>
    <t>Alumnado_0063</t>
  </si>
  <si>
    <t>Alumnado_0064</t>
  </si>
  <si>
    <t>Alumnado_0065</t>
  </si>
  <si>
    <t>Alumnado_0066</t>
  </si>
  <si>
    <t>Alumnado_0067</t>
  </si>
  <si>
    <t>Alumnado_0068</t>
  </si>
  <si>
    <t>Alumnado_0069</t>
  </si>
  <si>
    <t>Alumnado_0070</t>
  </si>
  <si>
    <t>Alumnado_0071</t>
  </si>
  <si>
    <t>Alumnado_0072</t>
  </si>
  <si>
    <t>Alumnado_0073</t>
  </si>
  <si>
    <t>Alumnado_0074</t>
  </si>
  <si>
    <t>Alumnado_0075</t>
  </si>
  <si>
    <t>Alumnado_0076</t>
  </si>
  <si>
    <t>Alumnado_0077</t>
  </si>
  <si>
    <t>Alumnado_0078</t>
  </si>
  <si>
    <t>Alumnado_0079</t>
  </si>
  <si>
    <t>Alumnado_0080</t>
  </si>
  <si>
    <t>Alumnado_0081</t>
  </si>
  <si>
    <t>Alumnado_0082</t>
  </si>
  <si>
    <t>Alumnado_0083</t>
  </si>
  <si>
    <t>Alumnado_0084</t>
  </si>
  <si>
    <t>Alumnado_0085</t>
  </si>
  <si>
    <t>Alumnado_0086</t>
  </si>
  <si>
    <t>Alumnado_0087</t>
  </si>
  <si>
    <t>Alumnado_0088</t>
  </si>
  <si>
    <t>Alumnado_0089</t>
  </si>
  <si>
    <t>Alumnado_0090</t>
  </si>
  <si>
    <t>Alumnado_0091</t>
  </si>
  <si>
    <t>Alumnado_0092</t>
  </si>
  <si>
    <t>Alumnado_0093</t>
  </si>
  <si>
    <t>Alumnado_0094</t>
  </si>
  <si>
    <t>Alumnado_0095</t>
  </si>
  <si>
    <t>Alumnado_0096</t>
  </si>
  <si>
    <t>Alumnado_0097</t>
  </si>
  <si>
    <t>Alumnado_0098</t>
  </si>
  <si>
    <t>Alumnado_0099</t>
  </si>
  <si>
    <t>Alumnado_0100</t>
  </si>
  <si>
    <t>Alumnado_0101</t>
  </si>
  <si>
    <t>Alumnado_0102</t>
  </si>
  <si>
    <t>Alumnado_0103</t>
  </si>
  <si>
    <t>Alumnado_0104</t>
  </si>
  <si>
    <t>Alumnado_0105</t>
  </si>
  <si>
    <t>Alumnado_0106</t>
  </si>
  <si>
    <t>DIRECTOR/A</t>
  </si>
  <si>
    <t>CENTRO</t>
  </si>
  <si>
    <t>CÓDIGO DE CENTRO</t>
  </si>
  <si>
    <t>IES PROPIO</t>
  </si>
  <si>
    <t>Arturo Toledo Santos</t>
  </si>
  <si>
    <t>LOCALIDAD</t>
  </si>
  <si>
    <t>Alcalá de Henares</t>
  </si>
  <si>
    <t>Gestión de Ventas y Espacios Comerciales</t>
  </si>
  <si>
    <t>Comercio y Marketing</t>
  </si>
  <si>
    <t>Técnico Superior en Gestión de Ventas y Espacios Comerciales</t>
  </si>
  <si>
    <t>Real Decreto 1573/2011, de 4 de noviembre</t>
  </si>
  <si>
    <t>Transporte y Logística</t>
  </si>
  <si>
    <t>Técnico Superior en Transporte y Logística</t>
  </si>
  <si>
    <t>Real Decreto 1572/2011, de 4 de noviembre</t>
  </si>
  <si>
    <t>Agencias de Viajes y Gestión de Eventos</t>
  </si>
  <si>
    <t>Hostelería y Turismo</t>
  </si>
  <si>
    <t>Técnico Superior en Agencias de Viajes y Gestión de Eventos</t>
  </si>
  <si>
    <t>Real Decreto 1254/2009, de 24 de julio</t>
  </si>
  <si>
    <t>Gestión de Alojamientos Turísticos</t>
  </si>
  <si>
    <t>Técnico Superior en Gestión de Alojamientos Turísticos</t>
  </si>
  <si>
    <t>Real Decreto 1686/2007, de 14 de diciembre</t>
  </si>
  <si>
    <t>Guía, Información y Asistencias Turísticas</t>
  </si>
  <si>
    <t>Técnico Superior en Guía, Información y Asistencias Turísticas</t>
  </si>
  <si>
    <t>Real Decreto 1255/2009, de 24 de julio</t>
  </si>
  <si>
    <t>Actividades Comerciales</t>
  </si>
  <si>
    <t>Medio</t>
  </si>
  <si>
    <t>Técnico en Actividades Comerciales</t>
  </si>
  <si>
    <t>Real Decreto 1688/2011, de 18 de noviembre</t>
  </si>
  <si>
    <t>Electromecánica de Maquinaria</t>
  </si>
  <si>
    <t>Transporte y Mantenimiento de Vehículos</t>
  </si>
  <si>
    <t>Técnico en Electromecánica de Maquinaria</t>
  </si>
  <si>
    <t>Real Decreto 255/2011, de 28 de febrero</t>
  </si>
  <si>
    <t>Paisajismo y Medio Rural</t>
  </si>
  <si>
    <t>Agraria</t>
  </si>
  <si>
    <t>Técnico Superior en Paisajismo y Medio Rural</t>
  </si>
  <si>
    <t>Real Decreto 259/2011, de 28 de febrero</t>
  </si>
  <si>
    <t>Educación y Control Ambiental</t>
  </si>
  <si>
    <t>Seguridad y Medio Ambiente</t>
  </si>
  <si>
    <t>Técnico Superior en Educación y Control Ambiental</t>
  </si>
  <si>
    <t>Real Decreto 384/2011, de 18 de marzo</t>
  </si>
  <si>
    <t>Iluminación, Captación y Tratamiento de Imagen</t>
  </si>
  <si>
    <t>Imagen y Sonido</t>
  </si>
  <si>
    <t>Técnico Superior en Iluminación, Captación y Tratamiento de Imagen</t>
  </si>
  <si>
    <t>Real Decreto 1686/2011, de 18 de noviembre</t>
  </si>
  <si>
    <t>Animaciones 3D, Juegos y Entornos Interactivos</t>
  </si>
  <si>
    <t>Técnico Superior en Animaciones 3D, Juegos y Entornos Interactivos</t>
  </si>
  <si>
    <t>Real Decreto 1583/2011, de 4 de noviembre</t>
  </si>
  <si>
    <t>Gestión Administrativa</t>
  </si>
  <si>
    <t>Administración y Gestión</t>
  </si>
  <si>
    <t>Técnico en Gestión Administrativa</t>
  </si>
  <si>
    <t>Real Decreto 1631/2009, de 30 de octubre</t>
  </si>
  <si>
    <t>Diseño y Gestión de la Producción Gráfica</t>
  </si>
  <si>
    <t>Artes Gráficas</t>
  </si>
  <si>
    <t>Técnico Superior en Diseño y Gestión de la Producción Gráfica</t>
  </si>
  <si>
    <t>Real Decreto 175/2013, de 8 de marzo</t>
  </si>
  <si>
    <t>Diseño y Edición de Publicaciones Impresas y Multimedia</t>
  </si>
  <si>
    <t>Técnico Superior en Diseño y Edición de Publicaciones Impresas y Multimedia</t>
  </si>
  <si>
    <t>Real Decreto 174/2013, de 8 de marzo</t>
  </si>
  <si>
    <t>Administración y Finanzas</t>
  </si>
  <si>
    <t>Técnico Superior en Administración y Finanzas</t>
  </si>
  <si>
    <t>Real Decreto 1584/2011, de 4 de noviembre</t>
  </si>
  <si>
    <t>Asistencia a la Dirección</t>
  </si>
  <si>
    <t>Técnico Superior en Asistencia a la Dirección</t>
  </si>
  <si>
    <t>Real Decreto 1582/2011, de 4 de noviembre</t>
  </si>
  <si>
    <t>Producción de audiovisuales y espectáculos</t>
  </si>
  <si>
    <t>Técnico Superior en Producción de audiovisuales y espectáculos</t>
  </si>
  <si>
    <t>Real Decreto 1681/2011, de 18 de noviembre</t>
  </si>
  <si>
    <t>Proyectos de Edificación</t>
  </si>
  <si>
    <t>Edificación y Obra Civil</t>
  </si>
  <si>
    <t>Técnico Superior en Proyectos de Edificación</t>
  </si>
  <si>
    <t>Real Decreto 690/2010, de 20 de mayo</t>
  </si>
  <si>
    <t>Proyectos de Obra Civil</t>
  </si>
  <si>
    <t>Técnico Superior en Proyectos de Obra Civil</t>
  </si>
  <si>
    <t>Real Decreto 386/2011, de 18 de marzo</t>
  </si>
  <si>
    <t>Eficiencia Energética y Energía Solar Térmica</t>
  </si>
  <si>
    <t>Energía y Agua</t>
  </si>
  <si>
    <t>Técnico Superior en Eficiencia Energética y Energía Solar Térmica</t>
  </si>
  <si>
    <t>Real Decreto 1177/2008, de 11 de julio</t>
  </si>
  <si>
    <t>Redes y Estaciones de Tratamiento de Aguas</t>
  </si>
  <si>
    <t>Técnico en Redes y Estaciones de Tratamiento de Aguas</t>
  </si>
  <si>
    <t>Real Decreto 114/2017, de 17 de febrero</t>
  </si>
  <si>
    <t>Gestión del Agua</t>
  </si>
  <si>
    <t>Técnico Superior en Gestión del Agua</t>
  </si>
  <si>
    <t>Real Decreto 113/2017, de 17 de febrero</t>
  </si>
  <si>
    <t>Mantenimiento Electrónico</t>
  </si>
  <si>
    <t>Electricidad y Electrónica</t>
  </si>
  <si>
    <t>Técnico Superior en Mantenimiento Electrónico</t>
  </si>
  <si>
    <t>Real Decreto 1578/2011, de 4 de noviembre</t>
  </si>
  <si>
    <t>Instalaciones Eléctricas y Automáticas</t>
  </si>
  <si>
    <t>Técnico en Instalaciones Eléctricas y Automáticas</t>
  </si>
  <si>
    <t>Real Decreto 177/2008, de 8 de febrero</t>
  </si>
  <si>
    <t>Sistemas Microinformáticos y Redes</t>
  </si>
  <si>
    <t>Informática y Comunicaciones</t>
  </si>
  <si>
    <t>Técnico en Sistemas Microinformáticos y Redes</t>
  </si>
  <si>
    <t>Real Decreto 1691/2007, de 14 de diciembre</t>
  </si>
  <si>
    <t>Sistemas Electrotécnicos y Automatizados</t>
  </si>
  <si>
    <t>Técnico Superior en Sistemas Electrotécnicos y Automatizados</t>
  </si>
  <si>
    <t>Real Decreto 1127/2010, de 10 de septiembre</t>
  </si>
  <si>
    <t>Desarrollo de Aplicaciones Multiplataforma</t>
  </si>
  <si>
    <t>Técnico Superior en Desarrollo de Aplicaciones Multiplataforma</t>
  </si>
  <si>
    <t>Real Decreto 450/2010, de 16 de abril</t>
  </si>
  <si>
    <t>Automatización y Robótica Industrial</t>
  </si>
  <si>
    <t>Técnico Superior en Automatización y Robótica Industrial</t>
  </si>
  <si>
    <t>Real Decreto 1581/2011, de 4 de noviembre</t>
  </si>
  <si>
    <t>Desarrollo de Proyectos de Instalaciones Térmicas y de Fluidos</t>
  </si>
  <si>
    <t>Instalación y Mantenimiento</t>
  </si>
  <si>
    <t>Técnico Superior en Desarrollo de Proyectos de Instalaciones Térmicas y de Fluidos</t>
  </si>
  <si>
    <t>Real Decreto 219/2008, de 15 de febrero</t>
  </si>
  <si>
    <t>Sistemas de Telecomunicaciones e Informáticos</t>
  </si>
  <si>
    <t>Técnico Superior en Sistemas de Telecomunicaciones e Informáticos</t>
  </si>
  <si>
    <t>Real Decreto 883/2011, de 24 de junio</t>
  </si>
  <si>
    <t>Administración de Sistemas Informáticos en Red</t>
  </si>
  <si>
    <t>Técnico Superior en Administración de Sistemas Informáticos en Red</t>
  </si>
  <si>
    <t>Real Decreto 1629/2009, de 30 de octubre</t>
  </si>
  <si>
    <t>Mecatrónica Industrial</t>
  </si>
  <si>
    <t>Técnico Superior en Mecatrónica Industrial</t>
  </si>
  <si>
    <t>Real Decreto 1576/2011, de 4 de noviembre</t>
  </si>
  <si>
    <t>Instalaciones de Producción de Calor</t>
  </si>
  <si>
    <t>Técnico en Instalaciones de Producción de Calor</t>
  </si>
  <si>
    <t>Real Decreto 1792/2010, de 30 de diciembre</t>
  </si>
  <si>
    <t>Instalaciones Frigoríficas y de Climatización</t>
  </si>
  <si>
    <t>Técnico en Instalaciones Frigoríficas y de Climatización</t>
  </si>
  <si>
    <t>Real Decreto 1793/2010, de 30 de diciembre</t>
  </si>
  <si>
    <t>Mantenimiento de Instalaciones Térmicas y de Fluidos</t>
  </si>
  <si>
    <t>Técnico Superior en Mantenimiento de Instalaciones Térmicas y de Fluidos</t>
  </si>
  <si>
    <t>Real Decreto 220/2008, de 15 de febrero</t>
  </si>
  <si>
    <t>Mantenimiento y Control de la Maquinaria de Buques y Embarcaciones</t>
  </si>
  <si>
    <t>Marítimo Pesquera</t>
  </si>
  <si>
    <t>Técnico en Mantenimiento y Control de la Maquinaria de Buques y Embarcaciones</t>
  </si>
  <si>
    <t>Real Decreto 1072/2012, de 13 de julio</t>
  </si>
  <si>
    <t>Planta Química</t>
  </si>
  <si>
    <t>Química</t>
  </si>
  <si>
    <t>Técnico en Planta Química</t>
  </si>
  <si>
    <t>Real Decreto 178/2008, de 8 de febrero</t>
  </si>
  <si>
    <t>Organización del Mantenimiento de Maquinaria de Buques y Embarcaciones</t>
  </si>
  <si>
    <t>Técnico Superior en Organización del Mantenimiento de Maquinaria de Buques y Embarcaciones</t>
  </si>
  <si>
    <t>Real Decreto 1075/2012, de 13 de julio</t>
  </si>
  <si>
    <t>Organización y Control de Obras de Construcción</t>
  </si>
  <si>
    <t>Técnico Superior en Organización y Control de Obras de Construcción</t>
  </si>
  <si>
    <t>Real Decreto 636/2015, de 10 de julio</t>
  </si>
  <si>
    <t>Construcciones Metálicas</t>
  </si>
  <si>
    <t>Fabricación Mecánica</t>
  </si>
  <si>
    <t>Técnico Superior en Construcciones Metálicas</t>
  </si>
  <si>
    <t>Real Decreto 174/2008, de 8 de febrero</t>
  </si>
  <si>
    <t>Diseño en Fabricación Mecánica</t>
  </si>
  <si>
    <t>Técnico Superior en Diseño en Fabricación Mecánica</t>
  </si>
  <si>
    <t>Real Decreto 1630/2009, de 30 de octubre</t>
  </si>
  <si>
    <t>Conformado por Moldeo de Metales y Polímeros</t>
  </si>
  <si>
    <t>Técnico en Conformado por Moldeo de Metales y Polímeros</t>
  </si>
  <si>
    <t>Real Decreto 387/2011, de 18 de marzo</t>
  </si>
  <si>
    <t>Programación de la Producción en Fabricación Mecánica</t>
  </si>
  <si>
    <t>Técnico Superior en Programación de la Producción en Fabricación Mecánica</t>
  </si>
  <si>
    <t>Real Decreto 1687/2007, de 14 de diciembre</t>
  </si>
  <si>
    <t>Programación de la Producción en Moldeo de Metales y Polímeros</t>
  </si>
  <si>
    <t>Técnico Superior en Programación de la Producción en Moldeo de Metales y Polímeros</t>
  </si>
  <si>
    <t>Real Decreto 882/2011, de 24 de junio</t>
  </si>
  <si>
    <t>Mecanizado</t>
  </si>
  <si>
    <t>Técnico en Mecanizado</t>
  </si>
  <si>
    <t>Real Decreto 1398/2007, de 29 de octubre</t>
  </si>
  <si>
    <t>Patronaje y Moda</t>
  </si>
  <si>
    <t>Textil, Confección y Piel</t>
  </si>
  <si>
    <t>Técnico Superior en Patronaje y Moda</t>
  </si>
  <si>
    <t>Real Decreto 954/2008, de 6 de junio</t>
  </si>
  <si>
    <t>Marketing y Publicidad</t>
  </si>
  <si>
    <t>Técnico Superior en Marketing y Publicidad</t>
  </si>
  <si>
    <t>Real Decreto 1571/2011, de 4 de noviembre</t>
  </si>
  <si>
    <t>Procesos y Calidad en la Industria Alimentaria</t>
  </si>
  <si>
    <t>Industrias Alimentarias</t>
  </si>
  <si>
    <t>Técnico Superior en Procesos y Calidad en la Industria Alimentaria</t>
  </si>
  <si>
    <t>Real Decreto 451/2010, de 16 de abril</t>
  </si>
  <si>
    <t>Vitivinicultura</t>
  </si>
  <si>
    <t>Técnico Superior en Vitivinicultura</t>
  </si>
  <si>
    <t>Real Decreto 1688/2007, de 14 de diciembre</t>
  </si>
  <si>
    <t>Realización de proyectos audiovisuales y espectáculos</t>
  </si>
  <si>
    <t>Técnico Superior en Realización de proyectos audiovisuales y espectáculos</t>
  </si>
  <si>
    <t>Real Decreto 1680/2011, de 18 de noviembre</t>
  </si>
  <si>
    <t>Panadería, Repostería y Confitería</t>
  </si>
  <si>
    <t>Técnico en Panadería, Repostería y Confitería</t>
  </si>
  <si>
    <t>Real Decreto 1399/2007, de 29 de octubre</t>
  </si>
  <si>
    <t>Carpintería y Mueble</t>
  </si>
  <si>
    <t>Madera, Mueble y Corcho</t>
  </si>
  <si>
    <t>Técnico en Carpintería y Mueble</t>
  </si>
  <si>
    <t>Real Decreto 1128/2010, de 10 de septiembre</t>
  </si>
  <si>
    <t>Conducción de Vehículos de Transporte por Carretera</t>
  </si>
  <si>
    <t>Técnico en Conducción de Vehículos de Transporte por Carretera</t>
  </si>
  <si>
    <t>Real Decreto 555/2012, de 23 de marzo</t>
  </si>
  <si>
    <t>Instalación y Amueblamiento</t>
  </si>
  <si>
    <t>Técnico en Instalación y Amueblamiento</t>
  </si>
  <si>
    <t>Real Decreto 880/2011, de 24 de junio</t>
  </si>
  <si>
    <t>Mantenimiento Electromecánico</t>
  </si>
  <si>
    <t>Técnico en Mantenimiento Electromecánico</t>
  </si>
  <si>
    <t>Real Decreto 1589/2011, de 4 de noviembre</t>
  </si>
  <si>
    <t>Mantenimiento de Material Rodante Ferroviario</t>
  </si>
  <si>
    <t>Técnico en Mantenimiento de Material Rodante Ferroviario</t>
  </si>
  <si>
    <t>Real Decreto 1145/2012, de 27 de julio</t>
  </si>
  <si>
    <t>Aceites de Oliva y Vinos</t>
  </si>
  <si>
    <t>Técnico en Aceites de Oliva y Vinos</t>
  </si>
  <si>
    <t>Real Decreto 1798/2008, de 3 de noviembre</t>
  </si>
  <si>
    <t>Elaboración de productos alimenticios</t>
  </si>
  <si>
    <t>Técnico en Elaboración de productos alimenticios</t>
  </si>
  <si>
    <t>Real Decreto 452/2010, de 16 de abril</t>
  </si>
  <si>
    <t>Acuicultura</t>
  </si>
  <si>
    <t>Técnico Superior en Acuicultura</t>
  </si>
  <si>
    <t>Real Decreto 1585/2011, de 4 de noviembre</t>
  </si>
  <si>
    <t>Desarrollo y Fabricación de Productos Cerámicos</t>
  </si>
  <si>
    <t>Vidrio y Cerámica</t>
  </si>
  <si>
    <t>Técnico Superior en Desarrollo y Fabricación de Productos Cerámicos</t>
  </si>
  <si>
    <t>Real Decreto 1797/2008, de 3 de noviembre</t>
  </si>
  <si>
    <t>Diseño y Producción de Calzado y Complementos</t>
  </si>
  <si>
    <t>Técnico Superior en Diseño y Producción de Calzado y Complementos</t>
  </si>
  <si>
    <t>Real Decreto 689/2010, de 20 de mayo</t>
  </si>
  <si>
    <t>Laboratorio de Análisis y de Control de Calidad</t>
  </si>
  <si>
    <t>Técnico Superior en Laboratorio de Análisis y de Control de Calidad</t>
  </si>
  <si>
    <t>Real Decreto 1395/2007, de 29 de octubre</t>
  </si>
  <si>
    <t>Soldadura y Calderería</t>
  </si>
  <si>
    <t>Técnico en Soldadura y Calderería</t>
  </si>
  <si>
    <t>Real Decreto 1692/2007, de 14 de diciembre</t>
  </si>
  <si>
    <t>Automoción</t>
  </si>
  <si>
    <t>Técnico Superior en Automoción</t>
  </si>
  <si>
    <t>Real Decreto 1796/2008, de 3 de noviembre</t>
  </si>
  <si>
    <t>Piedra Natural</t>
  </si>
  <si>
    <t>Industrias Extractivas</t>
  </si>
  <si>
    <t>Técnico en Piedra Natural</t>
  </si>
  <si>
    <t>Real Decreto 1587/2011, de 4 de noviembre</t>
  </si>
  <si>
    <t>Diseño y Amueblamiento</t>
  </si>
  <si>
    <t>Técnico Superior en Diseño y Amueblamiento</t>
  </si>
  <si>
    <t>Real Decreto 1579/2011, de 4 de noviembre</t>
  </si>
  <si>
    <t>Navegación y Pesca de Litoral</t>
  </si>
  <si>
    <t>Técnico en Navegación y Pesca de Litoral</t>
  </si>
  <si>
    <t>Real Decreto 1144/2012, de 27 de julio</t>
  </si>
  <si>
    <t>Transporte Marítimo y Pesca de Altura</t>
  </si>
  <si>
    <t>Técnico Superior en Transporte Marítimo y Pesca de Altura</t>
  </si>
  <si>
    <t>Real Decreto 1691/2011, de 18 de noviembre</t>
  </si>
  <si>
    <t>Operaciones de Laboratorio</t>
  </si>
  <si>
    <t>Técnico en Operaciones de Laboratorio</t>
  </si>
  <si>
    <t>Real Decreto 554/2012, de 23 de marzo</t>
  </si>
  <si>
    <t>Electromecánica de Vehículos Automóviles</t>
  </si>
  <si>
    <t>Técnico en Electromecánica de Vehículos Automóviles</t>
  </si>
  <si>
    <t>Real Decreto 453/2010, de 16 de abril</t>
  </si>
  <si>
    <t>Emergencias Sanitarias</t>
  </si>
  <si>
    <t>Sanidad</t>
  </si>
  <si>
    <t>Técnico en Emergencias Sanitarias</t>
  </si>
  <si>
    <t>Real Decreto 1397/2007, de 29 de octubre</t>
  </si>
  <si>
    <t>Animación Sociocultural y Turística</t>
  </si>
  <si>
    <t>Servicios Socioculturales y a la Comunidad</t>
  </si>
  <si>
    <t>Técnico Superior en Animación Sociocultural y Turística</t>
  </si>
  <si>
    <t>Real Decreto 1684/2011, de 18 de noviembre</t>
  </si>
  <si>
    <t>Mediación Comunicativa</t>
  </si>
  <si>
    <t>Técnico Superior en Mediación Comunicativa</t>
  </si>
  <si>
    <t>Real Decreto 831/2014, de 3 de octubre</t>
  </si>
  <si>
    <t>Educación infantil</t>
  </si>
  <si>
    <t>Técnico Superior en Educación infantil</t>
  </si>
  <si>
    <t>Real Decreto 1394/2007, de 29 de octubre</t>
  </si>
  <si>
    <t>Integración Social</t>
  </si>
  <si>
    <t>Técnico Superior en Integración Social</t>
  </si>
  <si>
    <t>Real Decreto 1074/2012, de 13 de julio</t>
  </si>
  <si>
    <t>Promoción de Igualdad de Género</t>
  </si>
  <si>
    <t>Técnico Superior en Promoción de Igualdad de Género</t>
  </si>
  <si>
    <t>Real Decreto 779/2013, de 11 de octubre</t>
  </si>
  <si>
    <t>Cuidados Auxiliares de Enfermería</t>
  </si>
  <si>
    <t>Técnico en Cuidados Auxiliares de Enfermería</t>
  </si>
  <si>
    <t>Real Decreto 546/1995, de 7 de abril</t>
  </si>
  <si>
    <t>Administración</t>
  </si>
  <si>
    <t>Secretariado</t>
  </si>
  <si>
    <t>Técnico superior en Secretariado</t>
  </si>
  <si>
    <t>Técnico superior en Administración y Finanzas</t>
  </si>
  <si>
    <t>Trabajos Forestales y de Conservación del Medio Natural</t>
  </si>
  <si>
    <t>Actividades Agrarias</t>
  </si>
  <si>
    <t>Técnico en Trabajos Forestales y de Conservación del Medio Natural</t>
  </si>
  <si>
    <t>Jardinería</t>
  </si>
  <si>
    <t>Técnico en Jardinería</t>
  </si>
  <si>
    <t>Explotaciones Agrarias Extensivas</t>
  </si>
  <si>
    <t>Técnico en Explotaciones Agrarias Extensivas</t>
  </si>
  <si>
    <t>Explotaciones Agrícolas Intensivas</t>
  </si>
  <si>
    <t>Técnico en Explotaciones Agrícolas Intensivas</t>
  </si>
  <si>
    <t>Explotaciones Ganaderas</t>
  </si>
  <si>
    <t>Técnico en Explotaciones Ganaderas</t>
  </si>
  <si>
    <t>Gestión y Organización de los Recursos Naturales y Paisajísticos</t>
  </si>
  <si>
    <t>Técnico superior en Gestión y Organización de los Recursos Naturales y Paisajísticos</t>
  </si>
  <si>
    <t>Gestión y Organización de Empresas Agropecuarias</t>
  </si>
  <si>
    <t>Técnico superior en Gestión y Organización de Empresas Agropecuarias</t>
  </si>
  <si>
    <t>Impresión en Artes Graficas</t>
  </si>
  <si>
    <t>Técnico en Impresión en Artes Graficas</t>
  </si>
  <si>
    <t>Encuadernación y Manipulados de Papel y Cartón</t>
  </si>
  <si>
    <t>Técnico en Encuadernación y Manipulados de Papel y Cartón</t>
  </si>
  <si>
    <t>Preimpresión en Artes Graficas</t>
  </si>
  <si>
    <t>Técnico en Preimpresión en Artes Graficas</t>
  </si>
  <si>
    <t>producción en industrias de Artes Gráficas</t>
  </si>
  <si>
    <t>Técnico superior en producción en industrias de Artes Gráficas</t>
  </si>
  <si>
    <t>Diseño y Producción Editorial</t>
  </si>
  <si>
    <t>Técnico superior en Diseño y Producción Editorial</t>
  </si>
  <si>
    <t>Comercio</t>
  </si>
  <si>
    <t>Técnico en Comercio</t>
  </si>
  <si>
    <t>Comercio Internacional</t>
  </si>
  <si>
    <t>Técnico superior en Comercio Internacional</t>
  </si>
  <si>
    <t>Gestión del Transporte</t>
  </si>
  <si>
    <t>Técnico superior en Gestión del Transporte</t>
  </si>
  <si>
    <t>Gestión Comercial y Marketing</t>
  </si>
  <si>
    <t>Técnico superior en Gestión Comercial y Marketing</t>
  </si>
  <si>
    <t>Obras de Albañilería</t>
  </si>
  <si>
    <t>Técnico en Obras de Albañilería</t>
  </si>
  <si>
    <t>Obras de Hormigón</t>
  </si>
  <si>
    <t>Técnico en Obras de Hormigón</t>
  </si>
  <si>
    <t>Acabados de Construcción</t>
  </si>
  <si>
    <t>Técnico en Acabados de Construcción</t>
  </si>
  <si>
    <t>Levantamientos y Desarrollos Urbanísticos</t>
  </si>
  <si>
    <t>Técnico superior en Levantamientos y Desarrollos Urbanísticos</t>
  </si>
  <si>
    <t>Desarrollo y Aplicación de Proyectos de Construcción</t>
  </si>
  <si>
    <t>Técnico superior en Desarrollo y Aplicación de Proyectos de Construcción</t>
  </si>
  <si>
    <t>Realización y Planes de Obras</t>
  </si>
  <si>
    <t>Técnico superior en Realización y Planes de Obras</t>
  </si>
  <si>
    <t>Equipos e Instalaciones Electrotécnicas</t>
  </si>
  <si>
    <t>Técnico en Equipos e Instalaciones Electrotécnicas</t>
  </si>
  <si>
    <t>Equipos Electrónicos de Consumo</t>
  </si>
  <si>
    <t>Técnico en Equipos Electrónicos de Consumo</t>
  </si>
  <si>
    <t>Mantenimiento Ferroviario</t>
  </si>
  <si>
    <t>Mantenimiento y Servicios a la Producción</t>
  </si>
  <si>
    <t>Técnico en Mantenimiento Ferroviario</t>
  </si>
  <si>
    <t>Instalación y Mantenimiento Electromecánico de Maquinaria y Conducción de Lineas</t>
  </si>
  <si>
    <t>Técnico en Instalación y Mantenimiento Electromecánico de Maquinaria y Conducción de Lineas</t>
  </si>
  <si>
    <t>Montaje y Mantenimiento de Instalaciones de Frío, Climatización y Producción de Calor</t>
  </si>
  <si>
    <t>Técnico en Montaje y Mantenimiento de Instalaciones de Frío, Climatización y Producción de Calor</t>
  </si>
  <si>
    <t>Sistemas de Telecomunicación e Informáticos</t>
  </si>
  <si>
    <t>Técnico superior en Sistemas de Telecomunicación e Informáticos</t>
  </si>
  <si>
    <t>Explotación de Sistemas Informáticos</t>
  </si>
  <si>
    <t>Informática</t>
  </si>
  <si>
    <t>Técnico en Explotación de Sistemas Informáticos</t>
  </si>
  <si>
    <t>Desarrollo de Productos Electrónicos</t>
  </si>
  <si>
    <t>Técnico superior en Desarrollo de Productos Electrónicos</t>
  </si>
  <si>
    <t>Sistemas de Regulación y Control Automáticos</t>
  </si>
  <si>
    <t>Técnico superior en Sistemas de Regulación y Control Automáticos</t>
  </si>
  <si>
    <t>Mantenimiento y Montaje de Instalaciones de Edificio y Proceso</t>
  </si>
  <si>
    <t>Técnico Superior en Mantenimiento y Montaje de Instalaciones de Edificio y Proceso</t>
  </si>
  <si>
    <t>Mantenimiento de Equipo Industrial</t>
  </si>
  <si>
    <t>Técnico superior en Mantenimiento de Equipo Industrial</t>
  </si>
  <si>
    <t>Desarrollo de Proyectos de Instalaciones de Fluidos, Térmicas y de Manutención</t>
  </si>
  <si>
    <t>Técnico Superior en Desarrollo de Proyectos de Instalaciones de Fluidos, Térmicas y de Manutención</t>
  </si>
  <si>
    <t>instalaciones Electrotécnicas</t>
  </si>
  <si>
    <t>Técnico superior en instalaciones Electrotécnicas</t>
  </si>
  <si>
    <t>Operación, Control y Mantenimiento de Máquinas e Instalaciones del Buque</t>
  </si>
  <si>
    <t>Actividades Maritimo-Pesqueras</t>
  </si>
  <si>
    <t>Técnico en Operación, Control y Mantenimiento de Máquinas e Instalaciones del Buque</t>
  </si>
  <si>
    <t>Supervisión y Control de Máquinas e Instalaciones del Buque</t>
  </si>
  <si>
    <t>Técnico Superior en Supervisión y Control de Máquinas e Instalaciones del Buque</t>
  </si>
  <si>
    <t>Fundición</t>
  </si>
  <si>
    <t>Técnico en Fundición</t>
  </si>
  <si>
    <t>Tratamientos Superficiales y Térmicos</t>
  </si>
  <si>
    <t>Técnico en Tratamientos Superficiales y Térmicos</t>
  </si>
  <si>
    <t>operaciones de transformación de plásticos y caucho</t>
  </si>
  <si>
    <t>Técnico en operaciones de transformación de plásticos y caucho</t>
  </si>
  <si>
    <t>Técnico superior en Construcciones Metálicas</t>
  </si>
  <si>
    <t>Desarrollo de Proyectos Mecánicos</t>
  </si>
  <si>
    <t>Técnico superior en Desarrollo de Proyectos Mecánicos</t>
  </si>
  <si>
    <t>Producción por Mecanizado</t>
  </si>
  <si>
    <t>Técnico Superior en Producción por Mecanizado</t>
  </si>
  <si>
    <t>producción por fundición y Pulvimetalurgia</t>
  </si>
  <si>
    <t>Técnico superior en producción por fundición y Pulvimetalurgia</t>
  </si>
  <si>
    <t>plásticos y caucho</t>
  </si>
  <si>
    <t>Técnico superior en plásticos y caucho</t>
  </si>
  <si>
    <t>Cocina</t>
  </si>
  <si>
    <t>Técnico en Cocina</t>
  </si>
  <si>
    <t>Pastelería y Panadería</t>
  </si>
  <si>
    <t>Técnico en Pastelería y Panadería</t>
  </si>
  <si>
    <t>Servicios de Restaurante y Bar</t>
  </si>
  <si>
    <t>Técnico en Servicios de Restaurante y Bar</t>
  </si>
  <si>
    <t>Panificación y Repostería</t>
  </si>
  <si>
    <t>Técnico en Panificación y Repostería</t>
  </si>
  <si>
    <t>Agencias de Viajes</t>
  </si>
  <si>
    <t>Técnico superior en Agencias de Viajes</t>
  </si>
  <si>
    <t>Alojamiento</t>
  </si>
  <si>
    <t>Técnico superior en Alojamiento</t>
  </si>
  <si>
    <t>Información y Comercialización Turísticas</t>
  </si>
  <si>
    <t>Técnico superior en Información y Comercialización Turísticas</t>
  </si>
  <si>
    <t>Restauración</t>
  </si>
  <si>
    <t>Técnico superior en Restauración</t>
  </si>
  <si>
    <t>Estética Personal Decorativa</t>
  </si>
  <si>
    <t>Imagen Personal</t>
  </si>
  <si>
    <t>Técnico en Estética Personal Decorativa</t>
  </si>
  <si>
    <t>Peluquería</t>
  </si>
  <si>
    <t>Técnico en Peluquería</t>
  </si>
  <si>
    <t>Asesoría de Imagen Personal</t>
  </si>
  <si>
    <t>Técnico superior en Asesoría de Imagen Personal</t>
  </si>
  <si>
    <t>Estética</t>
  </si>
  <si>
    <t>Técnico superior en Estética</t>
  </si>
  <si>
    <t>Laboratorio de Imagen</t>
  </si>
  <si>
    <t>Comunicación, Imagen y Sonido</t>
  </si>
  <si>
    <t>Técnico en Laboratorio de Imagen</t>
  </si>
  <si>
    <t>Realización de Audiovisuales y Espectáculos</t>
  </si>
  <si>
    <t>Técnico superior en Realización de Audiovisuales y Espectáculos</t>
  </si>
  <si>
    <t>Imagen</t>
  </si>
  <si>
    <t>Técnico superior en Imagen</t>
  </si>
  <si>
    <t>Producción de Audiovisuales, Radio y Espectáculos</t>
  </si>
  <si>
    <t>Técnico Superior en Producción de Audiovisuales, Radio y Espectáculos</t>
  </si>
  <si>
    <t>Sonido</t>
  </si>
  <si>
    <t>Técnico Superior en Sonido</t>
  </si>
  <si>
    <t>Elaboración de Aceites y Jugos</t>
  </si>
  <si>
    <t>Técnico en Elaboración de Aceites y Jugos</t>
  </si>
  <si>
    <t>Elaboración de Vinos y Otras Bebidas</t>
  </si>
  <si>
    <t>Técnico en Elaboración de Vinos y Otras Bebidas</t>
  </si>
  <si>
    <t>Conservería Vegetal, Cárnica y de Pescado</t>
  </si>
  <si>
    <t>Técnico en Conservería Vegetal, Cárnica y de Pescado</t>
  </si>
  <si>
    <t>Matadero y Carnicería-Charcutería</t>
  </si>
  <si>
    <t>Técnico en Matadero y Carnicería-Charcutería</t>
  </si>
  <si>
    <t>Elaboración de Productos Lácteos</t>
  </si>
  <si>
    <t>Técnico en Elaboración de Productos Lácteos</t>
  </si>
  <si>
    <t>Molinería e Industrias Cerealistas</t>
  </si>
  <si>
    <t>Técnico en Molinería e Industrias Cerealistas</t>
  </si>
  <si>
    <t>Industria Alimentaria</t>
  </si>
  <si>
    <t>Técnico superior en Industria Alimentaria</t>
  </si>
  <si>
    <t>Administración de Sistemas Informáticos</t>
  </si>
  <si>
    <t>Técnico superior en Administración de Sistemas Informáticos</t>
  </si>
  <si>
    <t>Desarrollo de Aplicaciones Informáticas</t>
  </si>
  <si>
    <t>Técnico superior en Desarrollo de Aplicaciones Informáticas</t>
  </si>
  <si>
    <t>Mantenimiento de Vehículos Autopropulsados</t>
  </si>
  <si>
    <t>Técnico superior en Automoción</t>
  </si>
  <si>
    <t>Fabricación Industrial de Carpintería y Mueble</t>
  </si>
  <si>
    <t>Madera y Mueble</t>
  </si>
  <si>
    <t>Técnico en Fabricación Industrial de Carpintería y Mueble</t>
  </si>
  <si>
    <t>Fabricación a Medida e Instalación de Carpintería y Mueble</t>
  </si>
  <si>
    <t>Técnico en Fabricación a Medida e Instalación de Carpintería y Mueble</t>
  </si>
  <si>
    <t>Transformación de Madera y Corcho</t>
  </si>
  <si>
    <t>Técnico en Transformación de Madera y Corcho</t>
  </si>
  <si>
    <t>Desarrollo de Productos en Carpintería y Mueble</t>
  </si>
  <si>
    <t>Técnico superior en Desarrollo de Productos en Carpintería y Mueble</t>
  </si>
  <si>
    <t>Producción de Madera y Mueble</t>
  </si>
  <si>
    <t>Técnico superior en Producción de Madera y Mueble</t>
  </si>
  <si>
    <t>Operaciones de Cultivo Acuícola</t>
  </si>
  <si>
    <t>Técnico en Operaciones de Cultivo Acuícola</t>
  </si>
  <si>
    <t>Pesca y Transporte Marítimo</t>
  </si>
  <si>
    <t>Técnico en Pesca y Transporte Marítimo</t>
  </si>
  <si>
    <t>Buceo de Media Profundidad</t>
  </si>
  <si>
    <t>Técnico en Buceo de Media Profundidad</t>
  </si>
  <si>
    <t>Producción Acuícola</t>
  </si>
  <si>
    <t>Técnico Superior en Producción Acuícola</t>
  </si>
  <si>
    <t>Navegación, Pesca y Transporte Marítimo</t>
  </si>
  <si>
    <t>Técnico superior en Navegación, Pesca y Transporte Marítimo</t>
  </si>
  <si>
    <t>Laboratorio</t>
  </si>
  <si>
    <t>Técnico en Laboratorio</t>
  </si>
  <si>
    <t>operaciones de fabricación de productos farmacéuticos</t>
  </si>
  <si>
    <t>Técnico en operaciones de fabricación de productos farmacéuticos</t>
  </si>
  <si>
    <t>operaciones de proceso de pasta y papel</t>
  </si>
  <si>
    <t>Técnico en operaciones de proceso de pasta y papel</t>
  </si>
  <si>
    <t>Operaciones de Proceso en Planta Química</t>
  </si>
  <si>
    <t>Técnico en Operaciones de Proceso en Planta Química</t>
  </si>
  <si>
    <t>Análisis y Control</t>
  </si>
  <si>
    <t>Técnico superior en Análisis y Control</t>
  </si>
  <si>
    <t>Laboratorio de Diagnóstico Clínico</t>
  </si>
  <si>
    <t>Técnico superior en Laboratorio de Diagnóstico Clínico</t>
  </si>
  <si>
    <t>industrias de proceso químico</t>
  </si>
  <si>
    <t>Técnico superior en industrias de proceso químico</t>
  </si>
  <si>
    <t>industrias de proceso de pasta y papel</t>
  </si>
  <si>
    <t>Técnico superior en industrias de proceso de pasta y papel</t>
  </si>
  <si>
    <t>Electromecánica de Vehículos</t>
  </si>
  <si>
    <t>Técnico en Electromecánica de Vehículos</t>
  </si>
  <si>
    <t>Farmacia</t>
  </si>
  <si>
    <t>Técnico en Farmacia</t>
  </si>
  <si>
    <t>Anatomía Patológica y Citología</t>
  </si>
  <si>
    <t>Técnico superior en Anatomía Patológica y Citología</t>
  </si>
  <si>
    <t>Audioprótesis</t>
  </si>
  <si>
    <t>Técnico superior en Audioprótesis</t>
  </si>
  <si>
    <t>Documentación Sanitaria</t>
  </si>
  <si>
    <t>Técnico superior en Documentación Sanitaria</t>
  </si>
  <si>
    <t>Higiene Bucodental</t>
  </si>
  <si>
    <t>Técnico superior en Higiene Bucodental</t>
  </si>
  <si>
    <t>Dietética</t>
  </si>
  <si>
    <t>Técnico superior en Dietética</t>
  </si>
  <si>
    <t>Salud Ambiental</t>
  </si>
  <si>
    <t>Técnico superior en Salud Ambiental</t>
  </si>
  <si>
    <t>imagen para el Diagnóstico</t>
  </si>
  <si>
    <t>Técnico superior en imagen para el Diagnóstico</t>
  </si>
  <si>
    <t>Radioterapia</t>
  </si>
  <si>
    <t>Técnico superior en Radioterapia</t>
  </si>
  <si>
    <t>Ortoprotésica</t>
  </si>
  <si>
    <t>Técnico superior en Ortoprotésica</t>
  </si>
  <si>
    <t>Prótesis Dentales</t>
  </si>
  <si>
    <t>Técnico superior en Prótesis Dentales</t>
  </si>
  <si>
    <t>Atención Sociosanitaria</t>
  </si>
  <si>
    <t>Técnico en Atención Sociosanitaria</t>
  </si>
  <si>
    <t>Animación Socio-cultural</t>
  </si>
  <si>
    <t>Técnico Superior en Animación Socio-cultural</t>
  </si>
  <si>
    <t>Animación Turística</t>
  </si>
  <si>
    <t>Técnico superior en Animación Turística</t>
  </si>
  <si>
    <t>Animación de Actividades Físicas y Deportivas</t>
  </si>
  <si>
    <t>Actividades Físicas y Deportivas</t>
  </si>
  <si>
    <t>Técnico superior en Animación de Actividades Físicas y Deportivas</t>
  </si>
  <si>
    <t>Educación Infantil</t>
  </si>
  <si>
    <t>Técnico superior en Educación Infantil</t>
  </si>
  <si>
    <t>Interpretación de la Lengua de Signos</t>
  </si>
  <si>
    <t>Técnico superior en Interpretación de la Lengua de Signos</t>
  </si>
  <si>
    <t>Calzado y Marroquinería</t>
  </si>
  <si>
    <t>Técnico en Calzado y Marroquinería</t>
  </si>
  <si>
    <t>Confección</t>
  </si>
  <si>
    <t>Técnico en Confección</t>
  </si>
  <si>
    <t>Operaciones de Ennoblecimiento Textil</t>
  </si>
  <si>
    <t>Técnico en Operaciones de Ennoblecimiento Textil</t>
  </si>
  <si>
    <t>Producción de Hilatura y Tejeduría de Calada</t>
  </si>
  <si>
    <t>Técnico en Producción de Hilatura y Tejeduría de Calada</t>
  </si>
  <si>
    <t>Producción de Tejidos de Punto</t>
  </si>
  <si>
    <t>Técnico en Producción de Tejidos de Punto</t>
  </si>
  <si>
    <t>Procesos Textiles de Hilatura y Tejeduría de Calada</t>
  </si>
  <si>
    <t>Técnico superior en Procesos Textiles de Hilatura y Tejeduría de Calada</t>
  </si>
  <si>
    <t>Procesos de Ennoblecimiento Textil</t>
  </si>
  <si>
    <t>Técnico superior en Procesos de Ennoblecimiento Textil</t>
  </si>
  <si>
    <t>Patronaje</t>
  </si>
  <si>
    <t>Técnico Superior en Patronaje</t>
  </si>
  <si>
    <t>Procesos de Confección Industrial</t>
  </si>
  <si>
    <t>Técnico superior en Procesos de Confección Industrial</t>
  </si>
  <si>
    <t>Carrocería</t>
  </si>
  <si>
    <t>Técnico en Carrocería</t>
  </si>
  <si>
    <t>Operaciones de Fabricación de Productos Cerámicos</t>
  </si>
  <si>
    <t>Técnico en Operaciones de Fabricación de Productos Cerámicos</t>
  </si>
  <si>
    <t>ESTUDIOS</t>
  </si>
  <si>
    <t>Calidad y tratamiento de aguas (1573)</t>
  </si>
  <si>
    <t>Dinamización grupal (1124)</t>
  </si>
  <si>
    <t>Operaciones de almacenaje (1209)</t>
  </si>
  <si>
    <t/>
  </si>
  <si>
    <t>Gestión de productos y promociones en el punto de venta (0927)</t>
  </si>
  <si>
    <t>Tecnologías de mecanizado en piedra natural (0895)</t>
  </si>
  <si>
    <t>Control de almacén (0542)</t>
  </si>
  <si>
    <t>Habilidades sociales (0017)</t>
  </si>
  <si>
    <t>Sistemas aumentativos y alternativos de comunicación (0343)</t>
  </si>
  <si>
    <t>RD_1072_2012</t>
  </si>
  <si>
    <t>RD_1074_2012</t>
  </si>
  <si>
    <t>RD_1075_2012</t>
  </si>
  <si>
    <t>RD_1127_2010</t>
  </si>
  <si>
    <t>RD_1128_2010</t>
  </si>
  <si>
    <t>RD_113_2017</t>
  </si>
  <si>
    <t>RD_114_2017</t>
  </si>
  <si>
    <t>RD_1144_2012</t>
  </si>
  <si>
    <t>RD_1145_2012</t>
  </si>
  <si>
    <t>RD_1177_2008</t>
  </si>
  <si>
    <t>RD_1254_2009</t>
  </si>
  <si>
    <t>RD_1255_2009</t>
  </si>
  <si>
    <t>RD_1394_2007</t>
  </si>
  <si>
    <t>RD_1395_2007</t>
  </si>
  <si>
    <t>RD_1397_2007</t>
  </si>
  <si>
    <t>RD_1398_2007</t>
  </si>
  <si>
    <t>RD_1399_2007</t>
  </si>
  <si>
    <t>RD_1571_2011</t>
  </si>
  <si>
    <t>RD_1572_2011</t>
  </si>
  <si>
    <t>RD_1573_2011</t>
  </si>
  <si>
    <t>RD_1576_2011</t>
  </si>
  <si>
    <t>RD_1578_2011</t>
  </si>
  <si>
    <t>RD_1579_2011</t>
  </si>
  <si>
    <t>RD_1581_2011</t>
  </si>
  <si>
    <t>RD_1582_2011</t>
  </si>
  <si>
    <t>RD_1583_2011</t>
  </si>
  <si>
    <t>RD_1584_2011</t>
  </si>
  <si>
    <t>RD_1585_2011</t>
  </si>
  <si>
    <t>RD_1587_2011</t>
  </si>
  <si>
    <t>RD_1589_2011</t>
  </si>
  <si>
    <t>RD_1629_2009</t>
  </si>
  <si>
    <t>RD_1630_2009</t>
  </si>
  <si>
    <t>RD_1631_2009</t>
  </si>
  <si>
    <t>RD_1680_2011</t>
  </si>
  <si>
    <t>RD_1681_2011</t>
  </si>
  <si>
    <t>RD_1684_2011</t>
  </si>
  <si>
    <t>RD_1686_2007</t>
  </si>
  <si>
    <t>RD_1686_2011</t>
  </si>
  <si>
    <t>RD_1687_2007</t>
  </si>
  <si>
    <t>RD_1688_2007</t>
  </si>
  <si>
    <t>RD_1688_2011</t>
  </si>
  <si>
    <t>RD_1691_2007</t>
  </si>
  <si>
    <t>RD_1691_2011</t>
  </si>
  <si>
    <t>RD_1692_2007</t>
  </si>
  <si>
    <t>RD_174_2008</t>
  </si>
  <si>
    <t>RD_174_2013</t>
  </si>
  <si>
    <t>RD_175_2013</t>
  </si>
  <si>
    <t>RD_177_2008</t>
  </si>
  <si>
    <t>RD_178_2008</t>
  </si>
  <si>
    <t>RD_1792_2010</t>
  </si>
  <si>
    <t>RD_1793_2010</t>
  </si>
  <si>
    <t>RD_1796_2008</t>
  </si>
  <si>
    <t>RD_1797_2008</t>
  </si>
  <si>
    <t>RD_1798_2008</t>
  </si>
  <si>
    <t>RD_219_2008</t>
  </si>
  <si>
    <t>RD_220_2008</t>
  </si>
  <si>
    <t>RD_255_2011</t>
  </si>
  <si>
    <t>RD_259_2011</t>
  </si>
  <si>
    <t>RD_384_2011</t>
  </si>
  <si>
    <t>RD_386_2011</t>
  </si>
  <si>
    <t>RD_387_2011</t>
  </si>
  <si>
    <t>RD_450_2010</t>
  </si>
  <si>
    <t>RD_451_2010</t>
  </si>
  <si>
    <t>RD_452_2010</t>
  </si>
  <si>
    <t>RD_453_2010</t>
  </si>
  <si>
    <t>RD_554_2012</t>
  </si>
  <si>
    <t>RD_555_2012</t>
  </si>
  <si>
    <t>RD_636_2015</t>
  </si>
  <si>
    <t>RD_689_2010</t>
  </si>
  <si>
    <t>RD_690_2010</t>
  </si>
  <si>
    <t>RD_779_2013</t>
  </si>
  <si>
    <t>RD_831_2014</t>
  </si>
  <si>
    <t>RD_880_2011</t>
  </si>
  <si>
    <t>RD_882_2011</t>
  </si>
  <si>
    <t>RD_883_2011</t>
  </si>
  <si>
    <t>RD_954_2008</t>
  </si>
  <si>
    <t>Técnico en Jardinería y Floristería</t>
  </si>
  <si>
    <t>Real Decreto 1129/2010, de 10 de septiembre</t>
  </si>
  <si>
    <t>Taller y equipos de tracción (0407)</t>
  </si>
  <si>
    <t>Técnico en Producción Agroecológica</t>
  </si>
  <si>
    <t>Real Decreto 1633/2009, de 30 de octubre</t>
  </si>
  <si>
    <t>Técnico Superior en Gestión Forestal y del Medio Natural</t>
  </si>
  <si>
    <t>Real Decreto 260/2011, de 28 de febrero</t>
  </si>
  <si>
    <t>Topografía agraria (0693)</t>
  </si>
  <si>
    <t>Técnico en Preimpresión Digital</t>
  </si>
  <si>
    <t>Real Decreto 1586/2011, de 4 de noviembre</t>
  </si>
  <si>
    <t>Técnico Superior en Comercio Internacional</t>
  </si>
  <si>
    <t>Real Decreto 1574/2011, de 4 de noviembre</t>
  </si>
  <si>
    <t>Técnico en Construcción</t>
  </si>
  <si>
    <t>Real Decreto 1575/2011, de 4 de noviembre</t>
  </si>
  <si>
    <t>Técnico en Obras de Interior, Decoración y Rehabilitación</t>
  </si>
  <si>
    <t>Real Decreto 1689/2011, de 18 de noviembre</t>
  </si>
  <si>
    <t>Técnico en Instalaciones de Telecomunicaciones</t>
  </si>
  <si>
    <t>Real Decreto 1632/2009, de 30 de octubre</t>
  </si>
  <si>
    <t>Técnico Superior en Electromedicina Clínica</t>
  </si>
  <si>
    <t>Real Decreto 838/2015, de 21 de septiembre</t>
  </si>
  <si>
    <t>Técnico Superior en Dirección de Cocina</t>
  </si>
  <si>
    <t>Real Decreto 687/2010, de 20 de mayo</t>
  </si>
  <si>
    <t>Técnico en Estética y Belleza</t>
  </si>
  <si>
    <t>Real Decreto 256/2011, de 28 de febrero</t>
  </si>
  <si>
    <t>Técnico en Peluquería y Cosmética Capilar</t>
  </si>
  <si>
    <t>Real Decreto 1588/2011, de 4 de noviembre</t>
  </si>
  <si>
    <t>Técnico Superior en Caracterización y Maquillaje Profesional</t>
  </si>
  <si>
    <t>Real Decreto 553/2012, de 23 de marzo</t>
  </si>
  <si>
    <t>Técnico en Vídeo Disc-jockey y Sonido</t>
  </si>
  <si>
    <t>Real Decreto 556/2012, de 23 de marzo</t>
  </si>
  <si>
    <t>Medios técnicos audiovisuales y escénicos (0910)</t>
  </si>
  <si>
    <t>Mantenimiento electromecánico en industrias de proceso (0191)</t>
  </si>
  <si>
    <t>Técnico Superior en Desarrollo de Aplicaciones Web</t>
  </si>
  <si>
    <t>Real Decreto 686/2010, de 20 de mayo</t>
  </si>
  <si>
    <t>Materiales en carpintería y mueble (0538)</t>
  </si>
  <si>
    <t>Soluciones constructivas (0539)</t>
  </si>
  <si>
    <t>Técnico en Cultivos Acuícolas</t>
  </si>
  <si>
    <t>Real Decreto 254/2011, de 28 de febrero</t>
  </si>
  <si>
    <t>Técnico en Operaciones Subacuáticas e Hiperbáricas</t>
  </si>
  <si>
    <t>Real Decreto 1073/2012, de 13 de julio</t>
  </si>
  <si>
    <t>Técnico Superior en Química Industrial</t>
  </si>
  <si>
    <t>Real Decreto 175/2008, de 8 de febrero</t>
  </si>
  <si>
    <t>Técnico en Farmacia y Parafarmacia</t>
  </si>
  <si>
    <t>Real Decreto 1689/2007, de 14 de diciembre</t>
  </si>
  <si>
    <t>Primeros auxilios (0020)</t>
  </si>
  <si>
    <t>Técnico en Atención a Personas en Situación de Dependencia</t>
  </si>
  <si>
    <t>Real Decreto 1593/2011, de 4 de noviembre</t>
  </si>
  <si>
    <t>Técnico en Confección y Moda</t>
  </si>
  <si>
    <t>Real Decreto 955/2008, de 6 de junio</t>
  </si>
  <si>
    <t>Técnico en Calzado y Complementos de Moda</t>
  </si>
  <si>
    <t>Real Decreto 257/2011, de 28 de febrero</t>
  </si>
  <si>
    <t>Técnico en Fabricación y Ennoblecimiento de Productos Textiles</t>
  </si>
  <si>
    <t>Real Decreto 1591/2011, de 4 de noviembre</t>
  </si>
  <si>
    <t>Real Decreto 176/2008, de 8 de febrero</t>
  </si>
  <si>
    <t>Mecanizado básico (0260)</t>
  </si>
  <si>
    <t>Técnico en Fabricación de Productos Cerámicos</t>
  </si>
  <si>
    <t>Real Decreto 454/2010, de 16 de abril</t>
  </si>
  <si>
    <t>Técnico en Aprovechamiento y Conservación del Medio Natural</t>
  </si>
  <si>
    <t>Real Decreto 1071/2012, de 13 de julio</t>
  </si>
  <si>
    <t>Principios de sanidad vegetal (0409)</t>
  </si>
  <si>
    <t>Técnico en Producción Agropecuaria</t>
  </si>
  <si>
    <t>Real Decreto 1634/2009, de 30 de octubre</t>
  </si>
  <si>
    <t>Fundamentos zootécnicos (0405)</t>
  </si>
  <si>
    <t>Técnico Superior en Ganadería y Asistencia en Sanidad Animal</t>
  </si>
  <si>
    <t>Real Decreto 1585/2012, de 23 de noviembre</t>
  </si>
  <si>
    <t>Técnico en Impresión Gráfica</t>
  </si>
  <si>
    <t>Real Decreto 1590/2011, de 4 de noviembre</t>
  </si>
  <si>
    <t>Técnico en Postimpresión y Acabados Gráficos</t>
  </si>
  <si>
    <t>Real Decreto 1683/2011, de 18 de noviembre</t>
  </si>
  <si>
    <t>Investigación comercial (1010)</t>
  </si>
  <si>
    <t>Solados, alicatados y chapados (1003)</t>
  </si>
  <si>
    <t>Técnico en Cocina y Gastronomía</t>
  </si>
  <si>
    <t>Real Decreto 1396/2007, de 29 de octubre</t>
  </si>
  <si>
    <t>Técnico en Servicios en Restauración</t>
  </si>
  <si>
    <t>Real Decreto 1690/2007, de 14 de diciembre</t>
  </si>
  <si>
    <t>Técnico Superior en Dirección de Servicios de Restauración</t>
  </si>
  <si>
    <t>Real Decreto 688/2010, de 20 de mayo</t>
  </si>
  <si>
    <t>Recursos turísticos (0384)</t>
  </si>
  <si>
    <t>Destinos turísticos (0383)</t>
  </si>
  <si>
    <t>Técnico Superior en Asesoría de Imagen Personal y Corporativa</t>
  </si>
  <si>
    <t>Real Decreto 1685/2011, de 18 de noviembre</t>
  </si>
  <si>
    <t>Técnico Superior en Estética Integral y Bienestar</t>
  </si>
  <si>
    <t>Real Decreto 881/2011, de 24 de junio</t>
  </si>
  <si>
    <t>Masaje estético (0747)</t>
  </si>
  <si>
    <t>Estética hidrotermal (0745)</t>
  </si>
  <si>
    <t>Técnico Superior en Estilismo y Dirección de Peluquería</t>
  </si>
  <si>
    <t>Real Decreto 1577/2011, de 4 de noviembre</t>
  </si>
  <si>
    <t>Realización del montaje y postproducción de audiovisuales (0907)</t>
  </si>
  <si>
    <t>Técnico Superior en Sonido para audiovisuales y espectáculos</t>
  </si>
  <si>
    <t>Real Decreto 1682/2011, de 18 de noviembre</t>
  </si>
  <si>
    <t>Seguridad e higiene en la manipulación de alimentos (0031)</t>
  </si>
  <si>
    <t>Programación (0485)</t>
  </si>
  <si>
    <t>Entornos de desarrollo (0487)</t>
  </si>
  <si>
    <t>Operaciones básicas de carpintería (0540)</t>
  </si>
  <si>
    <t>Operaciones básicas de mobiliario (0541)</t>
  </si>
  <si>
    <t>Mantenimiento de las instalaciones y máquinas eléctricas en buques y embarcaciones (1175)</t>
  </si>
  <si>
    <t>Técnico Superior en Fabricación de productos farmacéuticos, biotecnológicos y afines</t>
  </si>
  <si>
    <t>Real Decreto 832/2014, de 3 de octubre</t>
  </si>
  <si>
    <t>Técnico Superior en Anatomía Patológica y Citodiagnóstico</t>
  </si>
  <si>
    <t>Real Decreto 767/2014, de 12 de septiembre</t>
  </si>
  <si>
    <t>Técnico Superior en Audiología Protésica</t>
  </si>
  <si>
    <t>Real Decreto 1685/2007, de 14 de diciembre</t>
  </si>
  <si>
    <t>Técnico Superior en Documentación y Administración Sanitarias</t>
  </si>
  <si>
    <t>Real Decreto 768/2014, de 12 de septiembre</t>
  </si>
  <si>
    <t>Técnico Superior en Higiene Bucodental</t>
  </si>
  <si>
    <t>Real Decreto 769/2014, de 12 de septiembre</t>
  </si>
  <si>
    <t>Técnico Superior en Imagen para el Diagnóstico y Medicina Nuclear</t>
  </si>
  <si>
    <t>Real Decreto 770/2014, de 12 de septiembre</t>
  </si>
  <si>
    <t>Anatomía por la imagen (1347)</t>
  </si>
  <si>
    <t>Técnico Superior en Laboratorio Clínico y Biomédico</t>
  </si>
  <si>
    <t>Real Decreto 771/2014, de 12 de septiembre</t>
  </si>
  <si>
    <t>Técnico Superior en Ortoprótesis y Productos de Apoyo</t>
  </si>
  <si>
    <t>Real Decreto 905/2013, de 22 de noviembre</t>
  </si>
  <si>
    <t>Técnico Superior en Prótesis Dentales</t>
  </si>
  <si>
    <t>Real Decreto 1687/2011, de 18 de noviembre</t>
  </si>
  <si>
    <t>Técnico Superior en Radioterapia y Dosimetría</t>
  </si>
  <si>
    <t>Real Decreto 772/2014, de 12 de septiembre</t>
  </si>
  <si>
    <t>Características y necesidades de las personas en situación de dependencia (0212)</t>
  </si>
  <si>
    <t>Actividades de ocio y tiempo libre (1123)</t>
  </si>
  <si>
    <t>Técnico Superior en Diseño Técnico en Textil y Piel</t>
  </si>
  <si>
    <t>Real Decreto 1580/2011, de 4 de noviembre</t>
  </si>
  <si>
    <t>Técnico Superior en Vestuario a medida y de espectáculos</t>
  </si>
  <si>
    <t>Real Decreto 1679/2011, de 18 de noviembre</t>
  </si>
  <si>
    <t>NIVEL</t>
  </si>
  <si>
    <t>Acondicionamiento Físico</t>
  </si>
  <si>
    <t>Anatomía Patológica y Citodiagnóstico</t>
  </si>
  <si>
    <t>Asesoría de Imagen Personal y Corporativa</t>
  </si>
  <si>
    <t>Audiología Protésica</t>
  </si>
  <si>
    <t>Caracterización y Maquillaje Profesional</t>
  </si>
  <si>
    <t>Centrales Eléctricas</t>
  </si>
  <si>
    <t>Coordinación de Emergencias y Protección Civil</t>
  </si>
  <si>
    <t>Desarrollo de Aplicaciones Web</t>
  </si>
  <si>
    <t>Dirección de Cocina</t>
  </si>
  <si>
    <t>Dirección de Servicios de Restauración</t>
  </si>
  <si>
    <t>Documentación y Administración Sanitarias</t>
  </si>
  <si>
    <t>Electromedicina Clínica</t>
  </si>
  <si>
    <t>Energías Renovables</t>
  </si>
  <si>
    <t>Enseñanza y Animación Sociodeportiva</t>
  </si>
  <si>
    <t>Estética Integral y Bienestar</t>
  </si>
  <si>
    <t>Estilismo y Dirección de Peluquería</t>
  </si>
  <si>
    <t>Fabricación de productos farmacéuticos, biotecnológicos y afines</t>
  </si>
  <si>
    <t>Formación para la movilidad segura y sostenible</t>
  </si>
  <si>
    <t>Ganadería y Asistencia en Sanidad Animal</t>
  </si>
  <si>
    <t>Gestión Forestal y del Medio Natural</t>
  </si>
  <si>
    <t>Imagen para el Diagnóstico y Medicina Nuclear</t>
  </si>
  <si>
    <t>Laboratorio Clínico y Biomédico</t>
  </si>
  <si>
    <t>Mantenimiento aeromecánico de aviones con motor de pistón</t>
  </si>
  <si>
    <t>Mantenimiento aeromecánico de aviones con motor de turbina</t>
  </si>
  <si>
    <t>Mantenimiento aeromecánico de helicópteros con motor de pistón</t>
  </si>
  <si>
    <t>Mantenimiento aeromecánico de helicópteros con motor de turbina</t>
  </si>
  <si>
    <t>Mantenimiento de sistemas electrónicos y aviónicos en aeronaves</t>
  </si>
  <si>
    <t>Óptica de Anteojería</t>
  </si>
  <si>
    <t>Ortoprótesis y Productos de Apoyo</t>
  </si>
  <si>
    <t>Prevención de Riesgos Profesionales</t>
  </si>
  <si>
    <t>Química Industrial</t>
  </si>
  <si>
    <t>Química y Salud Ambiental</t>
  </si>
  <si>
    <t>Radioterapia y Dosimetría</t>
  </si>
  <si>
    <t>Sonido para audiovisuales y espectáculos</t>
  </si>
  <si>
    <t>Termalismo y bienestar</t>
  </si>
  <si>
    <t>Vestuario a medida y de espectáculos</t>
  </si>
  <si>
    <t>Actividades Ecuestres</t>
  </si>
  <si>
    <t>Aprovechamiento y Conservación del Medio Natural</t>
  </si>
  <si>
    <t>Atención a Personas en Situación de Dependencia</t>
  </si>
  <si>
    <t>Calzado y Complementos de Moda</t>
  </si>
  <si>
    <t>Cocina y Gastronomía</t>
  </si>
  <si>
    <t>Comercialización de Productos Alimentarios</t>
  </si>
  <si>
    <t>Confección y Moda</t>
  </si>
  <si>
    <t>Construcción</t>
  </si>
  <si>
    <t>Cultivos Acuícolas</t>
  </si>
  <si>
    <t>Emergencias y Protección Civil</t>
  </si>
  <si>
    <t>Estética y Belleza</t>
  </si>
  <si>
    <t>Excavaciones y Sondeos</t>
  </si>
  <si>
    <t>Fabricación de Productos Cerámicos</t>
  </si>
  <si>
    <t>Fabricación y Ennoblecimiento de Productos Textiles</t>
  </si>
  <si>
    <t>Farmacia y Parafarmacia</t>
  </si>
  <si>
    <t>Guía en el medio natural y de tiempo libre</t>
  </si>
  <si>
    <t>Impresión Gráfica</t>
  </si>
  <si>
    <t>Instalaciones de Telecomunicaciones</t>
  </si>
  <si>
    <t>Jardinería y Floristería</t>
  </si>
  <si>
    <t>Joyería</t>
  </si>
  <si>
    <t>Mantenimiento de embarcaciones de recreo</t>
  </si>
  <si>
    <t>Mantenimiento de estructuras de madera y mobiliario de embarcaciones de recreo</t>
  </si>
  <si>
    <t>Montaje de estructuras e instalación de sistemas aeronáuticos</t>
  </si>
  <si>
    <t>Obras de Interior, Decoración y Rehabilitación</t>
  </si>
  <si>
    <t>Operaciones Subacuáticas e Hiperbáricas</t>
  </si>
  <si>
    <t>Peluquería y Cosmética Capilar</t>
  </si>
  <si>
    <t>Postimpresión y Acabados Gráficos</t>
  </si>
  <si>
    <t>Preimpresión Digital</t>
  </si>
  <si>
    <t>Procesado y transformación de la madera</t>
  </si>
  <si>
    <t>Producción Agroecológica</t>
  </si>
  <si>
    <t>Producción Agropecuaria</t>
  </si>
  <si>
    <t>Seguridad</t>
  </si>
  <si>
    <t>Servicios en Restauración</t>
  </si>
  <si>
    <t>Vídeo Disc-jockey y Sonido</t>
  </si>
  <si>
    <t>Diseño Textil y Piel</t>
  </si>
  <si>
    <t>RD_1071_2012</t>
  </si>
  <si>
    <t>Empresa e iniciativa emprendedora (0840)</t>
  </si>
  <si>
    <t>Formación en centros de trabajo (0841)</t>
  </si>
  <si>
    <t>Formación y orientación laboral (0839)</t>
  </si>
  <si>
    <t>Empresa e iniciativa emprendedora (1179)</t>
  </si>
  <si>
    <t>Formación en centros de trabajo (1180)</t>
  </si>
  <si>
    <t>Formación y orientación laboral (1178)</t>
  </si>
  <si>
    <t>Inglés (0156)</t>
  </si>
  <si>
    <t>RD_1073_2012</t>
  </si>
  <si>
    <t>Empresa e iniciativa emprendedora (0767)</t>
  </si>
  <si>
    <t>Fisiopatología del buceo y emergencias (0763)</t>
  </si>
  <si>
    <t>Formación en centros de trabajo (0768)</t>
  </si>
  <si>
    <t>Formación y orientación laboral (0766)</t>
  </si>
  <si>
    <t>Inmersión desde campana húmeda (1248)</t>
  </si>
  <si>
    <t>Apoyo a la intervención educativa (0341)</t>
  </si>
  <si>
    <t>Empresa e iniciativa emprendedora (0347)</t>
  </si>
  <si>
    <t>Formación en centros de trabajo (0348)</t>
  </si>
  <si>
    <t>Formación y orientación laboral (0346)</t>
  </si>
  <si>
    <t>Mediación comunitaria (0340)</t>
  </si>
  <si>
    <t>Proyecto de integración social (0345)</t>
  </si>
  <si>
    <t>Empresa e iniciativa emprendedora (1317)</t>
  </si>
  <si>
    <t>Formación en centros de trabajo (1318)</t>
  </si>
  <si>
    <t>Formación y orientación laboral (1316)</t>
  </si>
  <si>
    <t>Inglés (0179)</t>
  </si>
  <si>
    <t>Organización de la guardia de máquinas (1314)</t>
  </si>
  <si>
    <t>Proyecto de organización del mantenimiento de maquinaria de buques y embarcaciones (1315)</t>
  </si>
  <si>
    <t>RD_109_2022</t>
  </si>
  <si>
    <t>Formación en centros de trabajo (FCT) (5080)</t>
  </si>
  <si>
    <t>Seguridad en vehículos con sistemas de alto voltaje (5076)</t>
  </si>
  <si>
    <t>Sistemas de alto voltaje, almacenamiento y recarga eléctrica (5078)</t>
  </si>
  <si>
    <t>Sistemas de transmisión, freno regenerativo y control térmico (5079)</t>
  </si>
  <si>
    <t>Tracción eléctrica e híbrida en vehículos (5077)</t>
  </si>
  <si>
    <t>Empresa e iniciativa emprendedora (0528)</t>
  </si>
  <si>
    <t>Formación en centros de trabajo (0529)</t>
  </si>
  <si>
    <t>Formación y orientación laboral (0527)</t>
  </si>
  <si>
    <t>Gestión del montaje y del mantenimiento de instalaciones eléctricas (0602)</t>
  </si>
  <si>
    <t>Proyecto de sistemas electrotécnicos y automatizados (0526)</t>
  </si>
  <si>
    <t>Sistemas y circuitos eléctricos (0520)</t>
  </si>
  <si>
    <t>Técnicas y procesos en instalaciones domóticas y automáticas (0521)</t>
  </si>
  <si>
    <t>Técnicas y procesos en instalaciones eléctricas (0518)</t>
  </si>
  <si>
    <t>Empresa e iniciativa emprendedora (0549)</t>
  </si>
  <si>
    <t>Formación en centros de trabajo (0550)</t>
  </si>
  <si>
    <t>Formación y orientación laboral (0548)</t>
  </si>
  <si>
    <t>RD_1129_2010</t>
  </si>
  <si>
    <t>Empresa e iniciativa emprendedora (0583)</t>
  </si>
  <si>
    <t>Establecimientos de floristería (0580)</t>
  </si>
  <si>
    <t>Formación en centros de trabajo (0584)</t>
  </si>
  <si>
    <t>Formación y orientación laboral (0582)</t>
  </si>
  <si>
    <t>Configuración de redes de agua (1575)</t>
  </si>
  <si>
    <t>Empresa e iniciativa emprendedora (1582)</t>
  </si>
  <si>
    <t>Formación en centros de trabajo (1584)</t>
  </si>
  <si>
    <t>Formación y orientación laboral (1583)</t>
  </si>
  <si>
    <t>Gestión de operaciones calidad y medioambiente (1579)</t>
  </si>
  <si>
    <t>Gestión eficiente del agua (1574)</t>
  </si>
  <si>
    <t>Operaciones en redes e instalaciones de agua (1578)</t>
  </si>
  <si>
    <t>Proyecto en gestión eficiente del agua (1581)</t>
  </si>
  <si>
    <t>Técnicas de comunicación y relaciones (0309)</t>
  </si>
  <si>
    <t>Construcción en redes y estaciones de tratamiento de agua (1565)</t>
  </si>
  <si>
    <t>Empresa e iniciativa emprendedora (1569)</t>
  </si>
  <si>
    <t>Estaciones de tratamiento de aguas (1560)</t>
  </si>
  <si>
    <t>Formación en centros de trabajo (1571)</t>
  </si>
  <si>
    <t>Formación y orientación laboral (1570)</t>
  </si>
  <si>
    <t>Hidráulica y redes de agua (1567)</t>
  </si>
  <si>
    <t>Mantenimiento de redes (1568)</t>
  </si>
  <si>
    <t>Montaje y puesta en servicio de redes de agua (1563)</t>
  </si>
  <si>
    <t>Empresa e iniciativa emprendedora (1038)</t>
  </si>
  <si>
    <t>Formación en centros de trabajo (1039)</t>
  </si>
  <si>
    <t>Formación y orientación laboral (1037)</t>
  </si>
  <si>
    <t>Procedimientos de guardia (1028)</t>
  </si>
  <si>
    <t>Bogie, tracción y choque (0978)</t>
  </si>
  <si>
    <t>Confortabilidad y climatización (0977)</t>
  </si>
  <si>
    <t>Empresa e iniciativa emprendedora (0980)</t>
  </si>
  <si>
    <t>Formación en centros de trabajo (0981)</t>
  </si>
  <si>
    <t>Formación y orientación laboral (0979)</t>
  </si>
  <si>
    <t>Sistemas de frenos en material rodante ferroviario (0974)</t>
  </si>
  <si>
    <t>Sistemas lógicos de material rodante ferroviario (0976)</t>
  </si>
  <si>
    <t>Tracción eléctrica (0973)</t>
  </si>
  <si>
    <t>RD_1153_2021</t>
  </si>
  <si>
    <t>Fabricación automática en materiales compuestos (5084)</t>
  </si>
  <si>
    <t>Fabricación de elementos aeroespaciales de materiales compuestos por moldeo manual (5083)</t>
  </si>
  <si>
    <t>Polimerización y mecanizado de piezas aeroespaciales de material compuesto (5085)</t>
  </si>
  <si>
    <t>Verificación de elementos de materiales compuestos (5086)</t>
  </si>
  <si>
    <t>RD_1161_2001</t>
  </si>
  <si>
    <t>Emergencias (PDRP)</t>
  </si>
  <si>
    <t>Formación y Orientación Laboral (PDRP)</t>
  </si>
  <si>
    <t>Gestión de la prevención (PDRP)</t>
  </si>
  <si>
    <t>Prevención de riesgos derivados de la organización y la carga de trabajo (PDRP)</t>
  </si>
  <si>
    <t>Relaciones en el entorno de trabajo (PDRP)</t>
  </si>
  <si>
    <t>Riesgos derivados de las condiciones de seguridad (PDRP)</t>
  </si>
  <si>
    <t>Riesgos físicos ambientales (PDRP)</t>
  </si>
  <si>
    <t>Riesgos químicos y biológicos ambientales (PDRP)</t>
  </si>
  <si>
    <t>Configuración de instalaciones solares térmicas (0352)</t>
  </si>
  <si>
    <t>Eficiencia energética de instalaciones (0349)</t>
  </si>
  <si>
    <t>Empresa e iniciativa emprendedora (0357)</t>
  </si>
  <si>
    <t>Formación en centros de trabajo (0358)</t>
  </si>
  <si>
    <t>Formación y orientación laboral (0356)</t>
  </si>
  <si>
    <t>Gestión del montaje y mantenimiento de instalaciones solares térmicas (0353)</t>
  </si>
  <si>
    <t>Gestión eficiente del agua en edificación (0351)</t>
  </si>
  <si>
    <t>Promoción del uso eficiente de la energía y del agua (0354)</t>
  </si>
  <si>
    <t>Proyecto de eficiencia energética y energía solar térmica (0355)</t>
  </si>
  <si>
    <t>Formación en centros de trabajo (0403)</t>
  </si>
  <si>
    <t>Formación y orientación laboral (0401)</t>
  </si>
  <si>
    <t>Proyecto de agencias de viajes y gestión de eventos (0400)</t>
  </si>
  <si>
    <t>Segunda lengua extranjera (0180)</t>
  </si>
  <si>
    <t>Empresa e iniciativa emprendedora (0390)</t>
  </si>
  <si>
    <t>Formación en centros de trabajo (0391)</t>
  </si>
  <si>
    <t>Formación y orientación laboral (0389)</t>
  </si>
  <si>
    <t>Proyecto de guía, información y asistencia turísticas (0388)</t>
  </si>
  <si>
    <t>Empresa e iniciativa emprendedora (0022)</t>
  </si>
  <si>
    <t>Formación en Centros de Trabajo (0023)</t>
  </si>
  <si>
    <t>Formación y Orientación Laboral (0021)</t>
  </si>
  <si>
    <t>Intervención con familias y atención a menores en riesgo social (0018)</t>
  </si>
  <si>
    <t>Primeros auxilios(1) (2) (0020)</t>
  </si>
  <si>
    <t>Proyecto de atención a la infancia (0019)</t>
  </si>
  <si>
    <t>Empresa e iniciativa emprendedora (0075)</t>
  </si>
  <si>
    <t>Ensayos biotecnológicos (0071)</t>
  </si>
  <si>
    <t>Formación en centros de trabajo (0076)</t>
  </si>
  <si>
    <t>Formación y orientación laboral (0074)</t>
  </si>
  <si>
    <t>Proyecto de laboratorio de análisis y de control de calidad (0073)</t>
  </si>
  <si>
    <t>RD_1396_2007</t>
  </si>
  <si>
    <t>Empresa e iniciativa emprendedora (0050)</t>
  </si>
  <si>
    <t>Formación en Centros de Trabajo (0051)</t>
  </si>
  <si>
    <t>Formación y Orientación Laboral (0049)</t>
  </si>
  <si>
    <t>Anatomofisiología y patología básicas (0061)</t>
  </si>
  <si>
    <t>Apoyo psicológico en situaciones de emergencia (0058)</t>
  </si>
  <si>
    <t>Atención sanitaria especial en situaciones de emergencia (0056)</t>
  </si>
  <si>
    <t>Atención sanitaria inicial en situaciones de emergencia (0055)</t>
  </si>
  <si>
    <t>Dotación sanitaria (0054)</t>
  </si>
  <si>
    <t>Empresa e iniciativa emprendedora (0063)</t>
  </si>
  <si>
    <t>Evacuación y traslado de pacientes (0057)</t>
  </si>
  <si>
    <t>Formación y orientación laboral (0062)</t>
  </si>
  <si>
    <t>Logística sanitaria en emergencias (0053)</t>
  </si>
  <si>
    <t>Planes de emergencias y dispositivos de riesgos previsibles (0059)</t>
  </si>
  <si>
    <t>Tele emergencia (0060)</t>
  </si>
  <si>
    <t>Empresa e iniciativa emprendedora (0009)</t>
  </si>
  <si>
    <t>Formación en centros de trabajo (0010)</t>
  </si>
  <si>
    <t>Formación y Orientación Laboral (0008)</t>
  </si>
  <si>
    <t>Empresa e iniciativa emprendedora (0034)</t>
  </si>
  <si>
    <t>Formación en Centros de Trabajo (0035)</t>
  </si>
  <si>
    <t>Formación y Orientación Laboral (0033)</t>
  </si>
  <si>
    <t>RD_143_2024</t>
  </si>
  <si>
    <t>Comunicación en redes sociales (5114)</t>
  </si>
  <si>
    <t>Estrategia digital básica (5110)</t>
  </si>
  <si>
    <t>Gestión del posicionamiento y la comunicación online (5111)</t>
  </si>
  <si>
    <t>Posicionamiento de pago en buscadores (SEM) (5113)</t>
  </si>
  <si>
    <t>Posicionamiento orgánico en buscadores (SEO) (5112)</t>
  </si>
  <si>
    <t>RD_144_2024</t>
  </si>
  <si>
    <t>Estrategia de contenidos digitales (5123)</t>
  </si>
  <si>
    <t>Redacción de contenidos digitales (5124)</t>
  </si>
  <si>
    <t>RD_1444_2018</t>
  </si>
  <si>
    <t>Aerodinámica básica (1435)</t>
  </si>
  <si>
    <t>Aerodinámica, estructuras y sistemas de mandos de vuelo de aviones con motor de pistón (1443)</t>
  </si>
  <si>
    <t>Aerodinámica, estructuras y sistemas de oxígeno, aguas y protección de aviones (1441)</t>
  </si>
  <si>
    <t>Aerodinámica, estructuras y sistemas eléctricos y de aviónica de aviones con motor de pistón (1442)</t>
  </si>
  <si>
    <t>Aerodinámica, estructuras y sistemas hidráulicos, neumáticos y tren de aterrizaje del avión (1440)</t>
  </si>
  <si>
    <t>Empresa e iniciativa emprendedora (1464)</t>
  </si>
  <si>
    <t>Factores humanos (1436)</t>
  </si>
  <si>
    <t>Formación en centros de trabajo (1465)</t>
  </si>
  <si>
    <t>Fundamentos de electricidad (1425)</t>
  </si>
  <si>
    <t>Fundamentos de electrónica en aeromecánica (1426)</t>
  </si>
  <si>
    <t>Hélices (1457)</t>
  </si>
  <si>
    <t>Legislación aeronáutica (1437)</t>
  </si>
  <si>
    <t>Materiales, equipos y herramientas en aeromecánica (1430)</t>
  </si>
  <si>
    <t>Motores de pistón (1456)</t>
  </si>
  <si>
    <t>Prácticas de mantenimiento con elementos de aviónica y servicios de las aeronaves (1433)</t>
  </si>
  <si>
    <t>Prácticas de mantenimiento con elementos mecánicos de la aeronave (1432)</t>
  </si>
  <si>
    <t>Proyecto de mantenimiento aeromecánico de aviones con motor de pistón (1462)</t>
  </si>
  <si>
    <t>Técnicas digitales y Sistemas de instrumentos electrónicos en aeromecánica (1428)</t>
  </si>
  <si>
    <t>RD_1445_2018</t>
  </si>
  <si>
    <t>Aerodinámica, estructuras y sistemas de instrumentación, aviónica y luces (1446)</t>
  </si>
  <si>
    <t>Aerodinámica, estructuras y sistemas hidráulico, combustible, neumáticos y de protección en helicópteros (1448)</t>
  </si>
  <si>
    <t>Aerodinámica, estructuras y teoría de vuelo, mandos de vuelo, sistema de conducción de potencia y rotores (1447)</t>
  </si>
  <si>
    <t>Aerodinámica, estructuras, tren de aterrizaje, equipamiento y accesorios de helicópteros (1449)</t>
  </si>
  <si>
    <t>Empresa e iniciativa emprendedora (1468)</t>
  </si>
  <si>
    <t>Formación en centros de trabajo (1469)</t>
  </si>
  <si>
    <t>Motores de turbina de gas (1455)</t>
  </si>
  <si>
    <t>Proyecto de mantenimiento aeromecánico de helicópteros con motor de turbina (1466)</t>
  </si>
  <si>
    <t>RD_1446_2018</t>
  </si>
  <si>
    <t>Empresa e iniciativa emprendedora (1472)</t>
  </si>
  <si>
    <t>Formación en centros de trabajo (1473)</t>
  </si>
  <si>
    <t>Proyecto de mantenimiento aeromecánico de helicópteros con motor de pistón (1470)</t>
  </si>
  <si>
    <t>RD_1447_2018</t>
  </si>
  <si>
    <t>RD_1448_2018</t>
  </si>
  <si>
    <t>Aerodinámica, estructuras y sistemas de comunicación, cabina de pasaje e información de aeronaves (1452)</t>
  </si>
  <si>
    <t>Aerodinámica, estructuras y sistemas de instrumentación, generación eléctrica, luces y mantenimiento a bordo de aeronaves (1451)</t>
  </si>
  <si>
    <t>Aerodinámica, estructuras y sistemas de mandos de vuelo, potencia hidráulica, tren de aterrizaje y célula de aeronaves (1450)</t>
  </si>
  <si>
    <t>Aerodinámica, estructuras y sistemas de navegación y de vuelo automático de aeronaves (1453)</t>
  </si>
  <si>
    <t>Aerodinámica, estructuras y sistemas neumáticos, combustible, de oxígeno, aguas y protección de aeronaves (1475)</t>
  </si>
  <si>
    <t>Empresa e iniciativa emprendedora (1476)</t>
  </si>
  <si>
    <t>Formación en centros de trabajo (1477)</t>
  </si>
  <si>
    <t>Fundamentos de electrónica en aviónica (1427)</t>
  </si>
  <si>
    <t>Materiales, equipos y herramientas en aviónica (1431)</t>
  </si>
  <si>
    <t>Prácticas de mantenimiento en aviónica (1434)</t>
  </si>
  <si>
    <t>Propulsión (1454)</t>
  </si>
  <si>
    <t>Proyecto de mantenimiento de sistemas eléctricos, electrónicos y aviónicos en aeronaves (1474)</t>
  </si>
  <si>
    <t>Técnicas digitales y sistemas de instrumentos electrónicos en aviónica (1429)</t>
  </si>
  <si>
    <t>Diseño y elaboración de material de comunicación (1007)</t>
  </si>
  <si>
    <t>Formación en centros de trabajo (1013)</t>
  </si>
  <si>
    <t>Formación y orientación laboral (1014)</t>
  </si>
  <si>
    <t>Marketing digital (0931)</t>
  </si>
  <si>
    <t>Proyecto de marketing y publicidad (1012)</t>
  </si>
  <si>
    <t>Relaciones públicas y organización de eventos de marketing (1009)</t>
  </si>
  <si>
    <t>Trabajo de campo en la investigación comercial (1011)</t>
  </si>
  <si>
    <t>Formación en centros de trabajo (0632)</t>
  </si>
  <si>
    <t>Formación y orientación laboral (0631)</t>
  </si>
  <si>
    <t>Gestión administrativa del transporte y la logística (0621)</t>
  </si>
  <si>
    <t>Proyecto de transporte y logística (0630)</t>
  </si>
  <si>
    <t>Escaparatismo y diseño de espacios comerciales (0926)</t>
  </si>
  <si>
    <t>Formación en centros de trabajo (0934)</t>
  </si>
  <si>
    <t>Formación y orientación laboral (0933)</t>
  </si>
  <si>
    <t>Organización de equipos de ventas (0928)</t>
  </si>
  <si>
    <t>Proyecto de gestión de ventas y espacios comerciales (0932)</t>
  </si>
  <si>
    <t>Técnicas de venta y negociación (0929)</t>
  </si>
  <si>
    <t>RD_1574_2011</t>
  </si>
  <si>
    <t>Comercio digital internacional (0827)</t>
  </si>
  <si>
    <t>Formación en centros de trabajo (0830)</t>
  </si>
  <si>
    <t>Formación y orientación laboral (0829)</t>
  </si>
  <si>
    <t>Proyecto de comercio internacional (0828)</t>
  </si>
  <si>
    <t>Sistema de información de mercados (0822)</t>
  </si>
  <si>
    <t>RD_1575_2011</t>
  </si>
  <si>
    <t>Construcción (0995)</t>
  </si>
  <si>
    <t>Empresa e iniciativa emprendedora (1343)</t>
  </si>
  <si>
    <t>Formación en centros de trabajo (1344)</t>
  </si>
  <si>
    <t>Formación y orientación laboral (1006)</t>
  </si>
  <si>
    <t>Empresa e iniciativa emprendedora (0947)</t>
  </si>
  <si>
    <t>Formación en centros de trabajo (0948)</t>
  </si>
  <si>
    <t>Formación y orientación laboral (0946)</t>
  </si>
  <si>
    <t>Integración de sistemas (0943)</t>
  </si>
  <si>
    <t>Proyecto de mecatrónica industrial (0945)</t>
  </si>
  <si>
    <t>RD_1577_2011</t>
  </si>
  <si>
    <t>Dermotricología (1064)</t>
  </si>
  <si>
    <t>Dirección y comercialización (1071)</t>
  </si>
  <si>
    <t>Empresa e iniciativa emprendedora (1075)</t>
  </si>
  <si>
    <t>Estilismo en peluquería (1069)</t>
  </si>
  <si>
    <t>Estudio de la imagen (1070)</t>
  </si>
  <si>
    <t>Formación en centros de trabajo (1076)</t>
  </si>
  <si>
    <t>Formación y orientación laboral (1074)</t>
  </si>
  <si>
    <t>Peinados para producciones audiovisuales y de moda (1068)</t>
  </si>
  <si>
    <t>Peluquería en cuidados especiales (1072)</t>
  </si>
  <si>
    <t>Procedimientos y técnicas de peluquería (1067)</t>
  </si>
  <si>
    <t>Proyecto de estilismo y dirección de peluquería (1073)</t>
  </si>
  <si>
    <t>Recursos técnicos y cosméticos (1065)</t>
  </si>
  <si>
    <t>Tratamientos capilares (1066)</t>
  </si>
  <si>
    <t>Empresa e iniciativa emprendedora (1062)</t>
  </si>
  <si>
    <t>Formación en centros de trabajo (1063)</t>
  </si>
  <si>
    <t>Formación y orientación laboral (1061)</t>
  </si>
  <si>
    <t>Mantenimiento de equipos de audio (1056)</t>
  </si>
  <si>
    <t>Mantenimiento de equipos de electrónica industrial (1055)</t>
  </si>
  <si>
    <t>Mantenimiento de equipos de radiocomunicaciones (1053)</t>
  </si>
  <si>
    <t>Mantenimiento de equipos de vídeo (1057)</t>
  </si>
  <si>
    <t>Mantenimiento de equipos de voz y datos (1054)</t>
  </si>
  <si>
    <t>Proyecto de mantenimiento electrónico (1060)</t>
  </si>
  <si>
    <t>Diseño de carpintería y mueble (0989)</t>
  </si>
  <si>
    <t>Empresa e iniciativa emprendedora (0993)</t>
  </si>
  <si>
    <t>Formación en centros de trabajo (0994)</t>
  </si>
  <si>
    <t>Formación y orientación laboral (0992)</t>
  </si>
  <si>
    <t>Proyecto de diseño y amueblamiento (0991)</t>
  </si>
  <si>
    <t>RD_1580_2011</t>
  </si>
  <si>
    <t>Diseño técnico de acabados de pieles (0450)</t>
  </si>
  <si>
    <t>Diseño técnico de textiles (0447)</t>
  </si>
  <si>
    <t>Empresa e iniciativa emprendedora (0743)</t>
  </si>
  <si>
    <t>Formación en centros de trabajo (0865)</t>
  </si>
  <si>
    <t>Formación y orientación laboral (0666)</t>
  </si>
  <si>
    <t>Muestras de artículos en textil y piel (0279)</t>
  </si>
  <si>
    <t>Procesos en tintura y acabado de pieles (0445)</t>
  </si>
  <si>
    <t>Proyecto de diseño técnico en textil y piel (0659)</t>
  </si>
  <si>
    <t>Empresa e iniciativa emprendedora (0971)</t>
  </si>
  <si>
    <t>Formación en centros de trabajo (0972)</t>
  </si>
  <si>
    <t>Formación y orientación laboral (0970)</t>
  </si>
  <si>
    <t>Proyecto de automatización y robótica industrial (0969)</t>
  </si>
  <si>
    <t>Robótica industrial (0966)</t>
  </si>
  <si>
    <t>Formación en centros de trabajo (0667)</t>
  </si>
  <si>
    <t>Formación y orientación laboral (0665)</t>
  </si>
  <si>
    <t>Gestión avanzada de la información (0663)</t>
  </si>
  <si>
    <t>Proceso integral de la actividad comercial (0650)</t>
  </si>
  <si>
    <t>Proyecto de asistencia a la dirección (0664)</t>
  </si>
  <si>
    <t>Recursos humanos y responsabilidad social corporativa (0648)</t>
  </si>
  <si>
    <t>Animación de elementos 2D y 3D (1087)</t>
  </si>
  <si>
    <t>Color, iluminación y acabados 2D y 3D (1088)</t>
  </si>
  <si>
    <t>Desarrollo de entornos interactivos multidispositivo (1091)</t>
  </si>
  <si>
    <t>Diseño, dibujo y modelado para animación (1086)</t>
  </si>
  <si>
    <t>Empresa e iniciativa emprendedora (1095)</t>
  </si>
  <si>
    <t>Formación en centros de trabajo (1096)</t>
  </si>
  <si>
    <t>Formación y orientación laboral (1094)</t>
  </si>
  <si>
    <t>Proyecto de animaciones 3D, juegos y entornos interactivos (1093)</t>
  </si>
  <si>
    <t>Proyectos de animación audiovisual 2D y 3D (1085)</t>
  </si>
  <si>
    <t>Proyectos de juegos y entornos interactivos (1089)</t>
  </si>
  <si>
    <t>Formación en centros de trabajo (0660)</t>
  </si>
  <si>
    <t>Formación y orientación laboral (0658)</t>
  </si>
  <si>
    <t>Proyecto de administración y finanzas (0657)</t>
  </si>
  <si>
    <t>Acuarofilia (1022)</t>
  </si>
  <si>
    <t>Empresa e iniciativa emprendedora (1024)</t>
  </si>
  <si>
    <t>Formación en centros de trabajo (1023)</t>
  </si>
  <si>
    <t>Formación y orientación laboral (1026)</t>
  </si>
  <si>
    <t>Proyecto de implantación de un centro de producción acuícola (1025)</t>
  </si>
  <si>
    <t>Técnicas analíticas y métodos de control sanitario en acuicultura (1020)</t>
  </si>
  <si>
    <t>RD_1585_2012</t>
  </si>
  <si>
    <t>Asistencia a la atención veterinaria (1280)</t>
  </si>
  <si>
    <t>Bioseguridad (1281)</t>
  </si>
  <si>
    <t>Empresa e iniciativa emprendedora (1285)</t>
  </si>
  <si>
    <t>Formación en centros de trabajo (1286)</t>
  </si>
  <si>
    <t>Formación y orientación laboral (1284)</t>
  </si>
  <si>
    <t>Gestión de centros veterinarios (1282)</t>
  </si>
  <si>
    <t>Gestión de la recría de caballos (1276)</t>
  </si>
  <si>
    <t>Organización y supervisión de la doma y manejo de équidos (1277)</t>
  </si>
  <si>
    <t>Proyecto de ganadería y asistencia en sanidad animal (1283)</t>
  </si>
  <si>
    <t>Saneamiento ganadero (1279)</t>
  </si>
  <si>
    <t>RD_1586_2011</t>
  </si>
  <si>
    <t>Empresa e iniciativa emprendedora (0875)</t>
  </si>
  <si>
    <t>Ensamblado de publicaciones electrónicas (0872)</t>
  </si>
  <si>
    <t>Formación en centros de trabajo (0876)</t>
  </si>
  <si>
    <t>Formación y orientación laboral (0874)</t>
  </si>
  <si>
    <t>Imposición y obtención digital de la forma impresora (0868)</t>
  </si>
  <si>
    <t>Impresión digital (0869)</t>
  </si>
  <si>
    <t>Comercialización de obras de piedra (0891)</t>
  </si>
  <si>
    <t>Conocimiento y extracción de la piedra (0892)</t>
  </si>
  <si>
    <t>Corte de bloques (0887)</t>
  </si>
  <si>
    <t>Elaboración de piezas (0889)</t>
  </si>
  <si>
    <t>Empresa e iniciativa emprendedora (0898)</t>
  </si>
  <si>
    <t>Formación en centros de trabajo (0899)</t>
  </si>
  <si>
    <t>Formación y orientación laboral (0897)</t>
  </si>
  <si>
    <t>Modelos en obras de piedra (0890)</t>
  </si>
  <si>
    <t>Montaje de piedra natural (0896)</t>
  </si>
  <si>
    <t>Restauración de piedra natural (0894)</t>
  </si>
  <si>
    <t>Talla y montaje de piedra natural (0893)</t>
  </si>
  <si>
    <t>Tratamientos superficiales (0888)</t>
  </si>
  <si>
    <t>RD_1588_2011</t>
  </si>
  <si>
    <t>Empresa e iniciativa emprendedora (0852)</t>
  </si>
  <si>
    <t>Formación en centros de trabajo (0853)</t>
  </si>
  <si>
    <t>Formación y orientación laboral (0851)</t>
  </si>
  <si>
    <t>Peluquería y estilismo masculino (0848)</t>
  </si>
  <si>
    <t>Empresa e iniciativa emprendedora (0957)</t>
  </si>
  <si>
    <t>Formación en centros de trabajo (0958)</t>
  </si>
  <si>
    <t>Formación y orientación laboral (0956)</t>
  </si>
  <si>
    <t>RD_1590_2011</t>
  </si>
  <si>
    <t>Empresa e iniciativa emprendedora (0885)</t>
  </si>
  <si>
    <t>Formación en centros de trabajo (0886)</t>
  </si>
  <si>
    <t>Formación y orientación laboral (0884)</t>
  </si>
  <si>
    <t>Impresión en bajorrelieve (0883)</t>
  </si>
  <si>
    <t>Impresión en flexografía (0879)</t>
  </si>
  <si>
    <t>Impresión en serigrafía (0880)</t>
  </si>
  <si>
    <t>RD_1591_2011</t>
  </si>
  <si>
    <t>Empresa e iniciativa emprendedora (1049)</t>
  </si>
  <si>
    <t>Formación en centros de trabajo (1050)</t>
  </si>
  <si>
    <t>Formación y orientación laboral (1048)</t>
  </si>
  <si>
    <t>RD_1592_2011</t>
  </si>
  <si>
    <t>Empresa e iniciativa emprendedora (1083)</t>
  </si>
  <si>
    <t>Estabilización de taludes (1078)</t>
  </si>
  <si>
    <t>Excavaciones con arranque selectivo (1079)</t>
  </si>
  <si>
    <t>Formación en centros de trabajo (1084)</t>
  </si>
  <si>
    <t>Formación y orientación laboral (1082)</t>
  </si>
  <si>
    <t>Operación y manejo de maquinaria de excavación (1081)</t>
  </si>
  <si>
    <t>Operaciones de carga y transporte en excavaciones (1080)</t>
  </si>
  <si>
    <t>Perforaciones (0881)</t>
  </si>
  <si>
    <t>Sondeos (0847)</t>
  </si>
  <si>
    <t>Sostenimiento (1077)</t>
  </si>
  <si>
    <t>Técnicas de voladuras (1031)</t>
  </si>
  <si>
    <t>Trabajos geotécnicos (0850)</t>
  </si>
  <si>
    <t>RD_1593_2011</t>
  </si>
  <si>
    <t>Empresa e iniciativa emprendedora (0219)</t>
  </si>
  <si>
    <t>Formación en centros de trabajo (0220)</t>
  </si>
  <si>
    <t>Formación y orientación laboral (0218)</t>
  </si>
  <si>
    <t>Teleasistencia (0831)</t>
  </si>
  <si>
    <t>Administración de sistemas operativos (0374)</t>
  </si>
  <si>
    <t>Empresa e iniciativa emprendedora (0381)</t>
  </si>
  <si>
    <t>Formación en centros de trabajo (0382)</t>
  </si>
  <si>
    <t>Formación y orientación laboral (0380)</t>
  </si>
  <si>
    <t>Implantación de aplicaciones web (0376)</t>
  </si>
  <si>
    <t>Lenguajes de marcas y sistemas de gestión de información (0373)</t>
  </si>
  <si>
    <t>Proyecto de administración de sistemas informáticos en red (0379)</t>
  </si>
  <si>
    <t>Seguridad y alta disponibilidad (0378)</t>
  </si>
  <si>
    <t>Servicios de red e Internet (0375)</t>
  </si>
  <si>
    <t>Diseño de moldes para productos poliméricos (0430)</t>
  </si>
  <si>
    <t>Empresa e iniciativa emprendedora (0435)</t>
  </si>
  <si>
    <t>Formación en centros de trabajo (0436)</t>
  </si>
  <si>
    <t>Formación y orientación laboral (0434)</t>
  </si>
  <si>
    <t>Proyecto de diseño de productos mecánicos (0433)</t>
  </si>
  <si>
    <t>Empresa en el aula (0446)</t>
  </si>
  <si>
    <t>Formación en centros de trabajo (0451)</t>
  </si>
  <si>
    <t>Formación y orientación laboral (0449)</t>
  </si>
  <si>
    <t>Inglés (0444)</t>
  </si>
  <si>
    <t>RD_1632_2009</t>
  </si>
  <si>
    <t>Circuito cerrado de televisión y seguridad electrónica (0364)</t>
  </si>
  <si>
    <t>Empresa e iniciativa emprendedora (0367)</t>
  </si>
  <si>
    <t>Formación en centros de trabajo (0368)</t>
  </si>
  <si>
    <t>Formación y orientación laboral (0366)</t>
  </si>
  <si>
    <t>Instalaciones de megafonía y sonorización (0363)</t>
  </si>
  <si>
    <t>Instalaciones de radiocomunicaciones (0365)</t>
  </si>
  <si>
    <t>RD_1633_2009</t>
  </si>
  <si>
    <t>Empresa e iniciativa emprendedora (0415)</t>
  </si>
  <si>
    <t>Formación en centros de trabajo (0416)</t>
  </si>
  <si>
    <t>Formación y orientación laboral (0414)</t>
  </si>
  <si>
    <t>Implantación de cultivos ecológicos (0406)</t>
  </si>
  <si>
    <t>Manejo sanitario del agrosistema (0412)</t>
  </si>
  <si>
    <t>Producción ganadera ecológica (0411)</t>
  </si>
  <si>
    <t>Producción vegetal ecológica (0410)</t>
  </si>
  <si>
    <t>RD_1634_2009</t>
  </si>
  <si>
    <t>Empresa e iniciativa emprendedora (0481)</t>
  </si>
  <si>
    <t>Formación en centros de trabajo (0482)</t>
  </si>
  <si>
    <t>Formación y orientación laboral (0480)</t>
  </si>
  <si>
    <t>RD_1679_2011</t>
  </si>
  <si>
    <t>Confección de vestuario a medida (0591)</t>
  </si>
  <si>
    <t>Diseño de vestuario a medida (0590)</t>
  </si>
  <si>
    <t>Empresa e iniciativa emprendedora (0900)</t>
  </si>
  <si>
    <t>Formación en centros de trabajo (0901)</t>
  </si>
  <si>
    <t>Formación y orientación laboral (0620)</t>
  </si>
  <si>
    <t>Gestión de recursos de vestuario a medida (0586)</t>
  </si>
  <si>
    <t>Moda y tendencias en el vestir (0589)</t>
  </si>
  <si>
    <t>Proyecto de vestuario a medida y espectáculos (0592)</t>
  </si>
  <si>
    <t>Sastrería clásica (0588)</t>
  </si>
  <si>
    <t>Técnicas de modelaje y patronaje de vestuario a medida (0585)</t>
  </si>
  <si>
    <t>Vestuario de espectáculos (0587)</t>
  </si>
  <si>
    <t>Empresa e iniciativa emprendedora (0913)</t>
  </si>
  <si>
    <t>Formación en centros de trabajo (0914)</t>
  </si>
  <si>
    <t>Formación y orientación laboral (0912)</t>
  </si>
  <si>
    <t>Planificación de la regiduría de espectáculos y eventos (0908)</t>
  </si>
  <si>
    <t>Procesos de regiduría de espectáculos y eventos (0909)</t>
  </si>
  <si>
    <t>Proyecto de realización de proyectos de audiovisuales y espectáculos (0911)</t>
  </si>
  <si>
    <t>Empresa e iniciativa emprendedora (0924)</t>
  </si>
  <si>
    <t>Formación en centros de trabajo (0925)</t>
  </si>
  <si>
    <t>Formación y orientación laboral (0923)</t>
  </si>
  <si>
    <t>Proyecto de producción de audiovisuales y espectáculos (0922)</t>
  </si>
  <si>
    <t>RD_1682_2011</t>
  </si>
  <si>
    <t>Control de sonido en directo (1099)</t>
  </si>
  <si>
    <t>Electroacústica (1103)</t>
  </si>
  <si>
    <t>Empresa e iniciativa emprendedora (1107)</t>
  </si>
  <si>
    <t>Formación en centros de trabajo (1108)</t>
  </si>
  <si>
    <t>Formación y orientación laboral (1106)</t>
  </si>
  <si>
    <t>Instalaciones de sonido (1097)</t>
  </si>
  <si>
    <t>Planificación de proyectos de sonido (1096)</t>
  </si>
  <si>
    <t>Proyecto de sonido para audiovisuales y espectáculos (1105)</t>
  </si>
  <si>
    <t>RD_1683_2011</t>
  </si>
  <si>
    <t>Elaboración de tapas y archivadores (1220)</t>
  </si>
  <si>
    <t>Empresa e iniciativa emprendedora (1224)</t>
  </si>
  <si>
    <t>Encuadernación en grapa (1215)</t>
  </si>
  <si>
    <t>Encuadernación en rústica y tapa dura (1216)</t>
  </si>
  <si>
    <t>Formación de envases (1222)</t>
  </si>
  <si>
    <t>Formación en centros de trabajo (1225)</t>
  </si>
  <si>
    <t>Formación y orientación laboral (1223)</t>
  </si>
  <si>
    <t>Materiales para postimpresión (1218)</t>
  </si>
  <si>
    <t>Tratamiento superficial del impreso (1221)</t>
  </si>
  <si>
    <t>Contexto de la animación sociocultural (1131)</t>
  </si>
  <si>
    <t>Empresa e iniciativa emprendedora (1134)</t>
  </si>
  <si>
    <t>Formación en centros de trabajo (1135)</t>
  </si>
  <si>
    <t>Formación y orientación laboral (1133)</t>
  </si>
  <si>
    <t>Información juvenil (1129)</t>
  </si>
  <si>
    <t>Intervención socioeducativa con jóvenes (1130)</t>
  </si>
  <si>
    <t>Proyecto de animación sociocultural y turística (1132)</t>
  </si>
  <si>
    <t>RD_1685_2007</t>
  </si>
  <si>
    <t>Atención al hipoacúsico (0204)</t>
  </si>
  <si>
    <t>Audición y comunicación verbal (0205)</t>
  </si>
  <si>
    <t>Empresa e iniciativa emprendedora (0208)</t>
  </si>
  <si>
    <t>Formación en centros de trabajo (0209)</t>
  </si>
  <si>
    <t>Formación y orientación laboral (0207)</t>
  </si>
  <si>
    <t>Proyecto de Audiología Protésica (0206)</t>
  </si>
  <si>
    <t>RD_1685_2011</t>
  </si>
  <si>
    <t>Asesoría cosmética (1181)</t>
  </si>
  <si>
    <t>Empresa e iniciativa emprendedora (1192)</t>
  </si>
  <si>
    <t>Formación en centros de trabajo (1193)</t>
  </si>
  <si>
    <t>Formación y orientación laboral (1191)</t>
  </si>
  <si>
    <t>Imagen corporativa (1189)</t>
  </si>
  <si>
    <t>Proyecto de asesoría de imagen personal y corporativa (1190)</t>
  </si>
  <si>
    <t>Comercialización de eventos (0178)</t>
  </si>
  <si>
    <t>Empresa e iniciativa emprendedora (0183)</t>
  </si>
  <si>
    <t>Formación en Centros de Trabajo (0184)</t>
  </si>
  <si>
    <t>Formación y orientación laboral (0182)</t>
  </si>
  <si>
    <t>Proyecto de gestión de Alojamiento Turístico (0181)</t>
  </si>
  <si>
    <t>Empresa e iniciativa emprendedora (1170)</t>
  </si>
  <si>
    <t>Formación en centros de trabajo (1171)</t>
  </si>
  <si>
    <t>Formación y orientación laboral (1169)</t>
  </si>
  <si>
    <t>Procesos finales fotográficos (1166)</t>
  </si>
  <si>
    <t>Proyecto de iluminación, captación y tratamiento de imagen (1168)</t>
  </si>
  <si>
    <t>Empresa e iniciativa emprendedora (0169)</t>
  </si>
  <si>
    <t>Formación en centros de trabajo (0170)</t>
  </si>
  <si>
    <t>Formación y orientación laboral (0168)</t>
  </si>
  <si>
    <t>Proyecto de fabricación de productos mecánicos (0167)</t>
  </si>
  <si>
    <t>RD_1687_2011</t>
  </si>
  <si>
    <t>Formación en centros de trabajo (0864)</t>
  </si>
  <si>
    <t>Formación y orientación laboral (0862)</t>
  </si>
  <si>
    <t>Proyecto de prótesis dentales (0861)</t>
  </si>
  <si>
    <t>Cata y cultura vitivinícola (0083)</t>
  </si>
  <si>
    <t>Empresa e iniciativa emprendedora (0089)</t>
  </si>
  <si>
    <t>Estabilización, crianza y envasado (0080)</t>
  </si>
  <si>
    <t>Formación en centros de trabajo (0090)</t>
  </si>
  <si>
    <t>Formación y orientación laboral (0088)</t>
  </si>
  <si>
    <t>Industrias derivadas (0082)</t>
  </si>
  <si>
    <t>Legislación vitivinícola y seguridad alimentaria (0085)</t>
  </si>
  <si>
    <t>Procesos bioquímicos (0079)</t>
  </si>
  <si>
    <t>Proyecto en la industria vitivinícola (0087)</t>
  </si>
  <si>
    <t>Vinificaciones (0078)</t>
  </si>
  <si>
    <t>Viticultura (0077)</t>
  </si>
  <si>
    <t>Aplicaciones informáticas para el comercio (1233)</t>
  </si>
  <si>
    <t>Comercio electrónico (1235)</t>
  </si>
  <si>
    <t>Formación en centros de trabajo (1237)</t>
  </si>
  <si>
    <t>Formación y orientación laboral (1236)</t>
  </si>
  <si>
    <t>Gestión de compras (1229)</t>
  </si>
  <si>
    <t>Marketing en la actividad comercial (1226)</t>
  </si>
  <si>
    <t>Venta técnica (1230)</t>
  </si>
  <si>
    <t>RD_1689_2007</t>
  </si>
  <si>
    <t>Disposición y venta de productos (0099)</t>
  </si>
  <si>
    <t>Empresa e iniciativa emprendedora (0107)</t>
  </si>
  <si>
    <t>Formación en centros de trabajo (0108)</t>
  </si>
  <si>
    <t>Formación y orientación laboral (0106)</t>
  </si>
  <si>
    <t>RD_1689_2011</t>
  </si>
  <si>
    <t>Empresa e iniciativa emprendedora (1202)</t>
  </si>
  <si>
    <t>Formación en centros de trabajo (1203)</t>
  </si>
  <si>
    <t>Formación y orientación laboral (1201)</t>
  </si>
  <si>
    <t>Mamparas y suelos técnicos (1196)</t>
  </si>
  <si>
    <t>Techos suspendidos (1197)</t>
  </si>
  <si>
    <t>RD_1690_2007</t>
  </si>
  <si>
    <t>El vino y su servicio (0154)</t>
  </si>
  <si>
    <t>Empresa e iniciativa emprendedora (0158)</t>
  </si>
  <si>
    <t>Formación en centros de trabajo (0159)</t>
  </si>
  <si>
    <t>Formación y orientación laboral (0157)</t>
  </si>
  <si>
    <t>Operaciones básicas en bar-cafetería (0150)</t>
  </si>
  <si>
    <t>Operaciones básicas en restaurante (0151)</t>
  </si>
  <si>
    <t>Técnicas de comunicación en restauración (0155)</t>
  </si>
  <si>
    <t>RD_1690_2011</t>
  </si>
  <si>
    <t>Ambientación y servicio de espectáculos (1243)</t>
  </si>
  <si>
    <t>Diseño técnico de escenografías y fallas (1127)</t>
  </si>
  <si>
    <t>Empresa e iniciativa emprendedora (1246)</t>
  </si>
  <si>
    <t>Formación en centros de trabajo (1247)</t>
  </si>
  <si>
    <t>Formación y orientación laboral (1245)</t>
  </si>
  <si>
    <t>Organización de la plantá de fallas (1241)</t>
  </si>
  <si>
    <t>Organización de la producción de estructuras y maquinaria escénica (1238)</t>
  </si>
  <si>
    <t>Organización de la producción de figuras corpóreas y ninots (1239)</t>
  </si>
  <si>
    <t>Organización de la producción de utilería (1240)</t>
  </si>
  <si>
    <t>Organización del montaje de decorados (1242)</t>
  </si>
  <si>
    <t>Planificación de la producción (1219)</t>
  </si>
  <si>
    <t>Proyecto de construcción de escenografías y fallas (1244)</t>
  </si>
  <si>
    <t>Empresa e iniciativa empresarial (0230)</t>
  </si>
  <si>
    <t>Formación en centros de trabajo (0231)</t>
  </si>
  <si>
    <t>Formación y orientación laboral (0229)</t>
  </si>
  <si>
    <t>Seguridad informática (0226)</t>
  </si>
  <si>
    <t>Empresa e iniciativa emprendedora (0807)</t>
  </si>
  <si>
    <t>Formación en centros de trabajo (0809)</t>
  </si>
  <si>
    <t>Formación y orientación laboral (0806)</t>
  </si>
  <si>
    <t>Guardia de puente (0804)</t>
  </si>
  <si>
    <t>Proyecto de implementación de una ruta de transporte marítimo (0808)</t>
  </si>
  <si>
    <t>Empresa e iniciativa emprendedora (0097)</t>
  </si>
  <si>
    <t>Formación en centros de trabajo (0098)</t>
  </si>
  <si>
    <t>Formación y orientación laboral (0096)</t>
  </si>
  <si>
    <t>Empresa e iniciativa emprendedora (0252)</t>
  </si>
  <si>
    <t>Formación en centros de trabajo (0253)</t>
  </si>
  <si>
    <t>Formación y orientación laboral (0251)</t>
  </si>
  <si>
    <t>Proyecto de construcciones metálicas (0250)</t>
  </si>
  <si>
    <t>Diseño estructural de envase y embalaje (1483)</t>
  </si>
  <si>
    <t>Diseño y planificación de proyectos editoriales multimedia (1484)</t>
  </si>
  <si>
    <t>Empresa e iniciativa emprendedora (1488)</t>
  </si>
  <si>
    <t>Formación en centros de trabajo (1489)</t>
  </si>
  <si>
    <t>Formación y orientación laboral (1487)</t>
  </si>
  <si>
    <t>Proyecto de diseño y edición de publicaciones impresas y multimedia (1486)</t>
  </si>
  <si>
    <t>RD_174_2021</t>
  </si>
  <si>
    <t>Didáctica de la enseñanza práctica de la conducción (1655)</t>
  </si>
  <si>
    <t>Didáctica de la formación para la seguridad vial (1658)</t>
  </si>
  <si>
    <t>Educación vial (1656)</t>
  </si>
  <si>
    <t>Empresa e iniciativa emprendedora (1662)</t>
  </si>
  <si>
    <t>Formación en centros de trabajo (1663)</t>
  </si>
  <si>
    <t>Formación y orientación laboral (1661)</t>
  </si>
  <si>
    <t>Movilidad segura y sostenible (1659)</t>
  </si>
  <si>
    <t>Organización de la formación de las personas conductoras (1652)</t>
  </si>
  <si>
    <t>Proyecto de formación para la movilidad segura y sostenible (1660)</t>
  </si>
  <si>
    <t>Seguridad vial (1657)</t>
  </si>
  <si>
    <t>Técnicas de conducción (1653)</t>
  </si>
  <si>
    <t>Tecnología básica del automóvil (1654)</t>
  </si>
  <si>
    <t>Tráfico, circulación de vehículos y transporte por carretera (1651)</t>
  </si>
  <si>
    <t>RD_175_2008</t>
  </si>
  <si>
    <t>Acondicionado y almacenamiento de productos químicos (0193)</t>
  </si>
  <si>
    <t>Empresa e iniciativa emprendedora (0197)</t>
  </si>
  <si>
    <t>Formación en centros de trabajo (0198)</t>
  </si>
  <si>
    <t>Formación y orientación laboral (0196)</t>
  </si>
  <si>
    <t>Formulación y preparación de mezclas (0192)</t>
  </si>
  <si>
    <t>Proyecto de industrias de proceso químico (0195)</t>
  </si>
  <si>
    <t>Empresa e iniciativa emprendedora (1544)</t>
  </si>
  <si>
    <t>Formación en centros de trabajo (1545)</t>
  </si>
  <si>
    <t>Formación y orientación laboral (1543)</t>
  </si>
  <si>
    <t>Proyecto de diseño y gestión de la producción gráfica (1542)</t>
  </si>
  <si>
    <t>RD_175_2021</t>
  </si>
  <si>
    <t>Formación en centros de trabajo (5047)</t>
  </si>
  <si>
    <t>Infraestructura de sistemas de señalización y seguridad ferroviaria (5044)</t>
  </si>
  <si>
    <t>Normativa de señalización y seguridad ferroviaria (5046)</t>
  </si>
  <si>
    <t>Sistemas de control y gestión del tráfico ferroviario (5045)</t>
  </si>
  <si>
    <t>Sistemas de telecomunicaciones ferroviarias (5043)</t>
  </si>
  <si>
    <t>RD_176_2008</t>
  </si>
  <si>
    <t>Empresa e iniciativa emprendedora (0262)</t>
  </si>
  <si>
    <t>Formación en centros de trabajo (0263)</t>
  </si>
  <si>
    <t>Formación y orientación laboral (0261)</t>
  </si>
  <si>
    <t>RD_176_2021</t>
  </si>
  <si>
    <t>Arquitectura del bogie (5040)</t>
  </si>
  <si>
    <t>Formación en centros de trabajo (5042)</t>
  </si>
  <si>
    <t>Gestión y logística del mantenimiento de material rodante ferroviario (5036)</t>
  </si>
  <si>
    <t>Motores térmicos de combustión ferroviarios (5039)</t>
  </si>
  <si>
    <t>Sistemas de frenado ferroviario y neumática auxiliar (5041)</t>
  </si>
  <si>
    <t>Sistemas embarcados en vehículos ferroviarios (5037)</t>
  </si>
  <si>
    <t>Tracción eléctrica ferroviaria (5038)</t>
  </si>
  <si>
    <t>Empresa e iniciativa emprendedora (0242)</t>
  </si>
  <si>
    <t>Formación en centros de trabajo (0243)</t>
  </si>
  <si>
    <t>Formación y orientación laboral (0241)</t>
  </si>
  <si>
    <t>Instalaciones solares fotovoltaicas (0239)</t>
  </si>
  <si>
    <t>Empresa e iniciativa emprendedora (0118)</t>
  </si>
  <si>
    <t>Formación en centros de trabajo (0119)</t>
  </si>
  <si>
    <t>Formación y orientación laboral (0117)</t>
  </si>
  <si>
    <t>Configuración de instalaciones caloríficas (0266)</t>
  </si>
  <si>
    <t>Empresa e iniciativa emprendedora (0395)</t>
  </si>
  <si>
    <t>Formación en centros de trabajo (0396)</t>
  </si>
  <si>
    <t>Formación y orientación laboral (0394)</t>
  </si>
  <si>
    <t>Configuración de instalaciones de frío y climatización (0039)</t>
  </si>
  <si>
    <t>Empresa e iniciativa emprendedora (0044)</t>
  </si>
  <si>
    <t>Formación en centros de trabajo (0244)</t>
  </si>
  <si>
    <t>Formación y orientación laboral (0043)</t>
  </si>
  <si>
    <t>Empresa e iniciativa emprendedora (0300)</t>
  </si>
  <si>
    <t>Formación en centros de trabajo (0301)</t>
  </si>
  <si>
    <t>Formación y orientación laboral (0299)</t>
  </si>
  <si>
    <t>Proyecto en automoción (0298)</t>
  </si>
  <si>
    <t>Técnicas de comunicación y de relaciones (0309)</t>
  </si>
  <si>
    <t>Empresa e iniciativa emprendedora (0314)</t>
  </si>
  <si>
    <t>Formación en centros de trabajo (0315)</t>
  </si>
  <si>
    <t>Formación y orientación laboral (0313)</t>
  </si>
  <si>
    <t>Empresa e iniciativa emprendedora (0323)</t>
  </si>
  <si>
    <t>Formación en centros de trabajo (0324)</t>
  </si>
  <si>
    <t>Formación y orientación laboral (0322)</t>
  </si>
  <si>
    <t>RD_189_2018</t>
  </si>
  <si>
    <t>Atención comercial en negocios alimentarios (1609)</t>
  </si>
  <si>
    <t>Comercio electrónico en negocios alimentarios (1613)</t>
  </si>
  <si>
    <t>Constitución de pequeños negocios alimentarios (1606)</t>
  </si>
  <si>
    <t>Dinamización del punto de venta en comercios de alimentación (1608)</t>
  </si>
  <si>
    <t>Formación en centros de trabajo (1617)</t>
  </si>
  <si>
    <t>Formación y orientación laboral (1616)</t>
  </si>
  <si>
    <t>Gestión de un comercio alimentario (1615)</t>
  </si>
  <si>
    <t>Logística de productos alimentarios (1612)</t>
  </si>
  <si>
    <t>Mercadotecnia del comercio alimentario (1607)</t>
  </si>
  <si>
    <t>Ofimática aplicada al comercio alimentario (1614)</t>
  </si>
  <si>
    <t>Preparación y acondicionamiento de productos frescos y transformados (1611)</t>
  </si>
  <si>
    <t>Seguridad y calidad alimentaria en el comercio (1610)</t>
  </si>
  <si>
    <t>RD_206_2022</t>
  </si>
  <si>
    <t>Instalación de dispositivos y sistemas conectados, IoT (5081)</t>
  </si>
  <si>
    <t>Mantenimiento de dispositivos y sistemas conectados, IoT (5082)</t>
  </si>
  <si>
    <t>Empresa e iniciativa emprendedora (0131)</t>
  </si>
  <si>
    <t>Formación en centros de trabajo (0132)</t>
  </si>
  <si>
    <t>Formación y orientación laboral (0130)</t>
  </si>
  <si>
    <t>Proyecto de instalaciones térmicas y de fluidos (0129)</t>
  </si>
  <si>
    <t>Empresa e iniciativa emprendedora (0139)</t>
  </si>
  <si>
    <t>Formación en centros de trabajo (0140)</t>
  </si>
  <si>
    <t>Formación y orientación laboral (0138)</t>
  </si>
  <si>
    <t>Proyecto de mantenimiento de instalaciones térmicas y de fluidos (0137)</t>
  </si>
  <si>
    <t>RD_254_2011</t>
  </si>
  <si>
    <t>Empresa e iniciativa emprendedora (0711)</t>
  </si>
  <si>
    <t>Formación en centros de trabajo (0712)</t>
  </si>
  <si>
    <t>Formación y orientación laboral (0710)</t>
  </si>
  <si>
    <t>Circuitos eléctricos, electrónicos y de confortabilidad (0718)</t>
  </si>
  <si>
    <t>Empresa e iniciativa emprendedora (0720)</t>
  </si>
  <si>
    <t>Equipos y aperos (0717)</t>
  </si>
  <si>
    <t>Formación en centros de trabajo (0721)</t>
  </si>
  <si>
    <t>Formación y orientación laboral (0719)</t>
  </si>
  <si>
    <t>Sistemas de accionamiento de equipos y aperos (0716)</t>
  </si>
  <si>
    <t>Sistemas de fuerza y detención (0715)</t>
  </si>
  <si>
    <t>Sistemas de suspensión y guiado (0714)</t>
  </si>
  <si>
    <t>RD_256_2011</t>
  </si>
  <si>
    <t>Actividades en cabina de estética (0639)</t>
  </si>
  <si>
    <t>Análisis estético (0638)</t>
  </si>
  <si>
    <t>Empresa e iniciativa emprendedora (0645)</t>
  </si>
  <si>
    <t>Formación en centros de trabajo (0646)</t>
  </si>
  <si>
    <t>Formación y orientación laboral (0644)</t>
  </si>
  <si>
    <t>Perfumería y cosmética natural (0642)</t>
  </si>
  <si>
    <t>RD_257_2011</t>
  </si>
  <si>
    <t>Calzado y tendencias (0611)</t>
  </si>
  <si>
    <t>Empresa e iniciativa emprendedora (0609)</t>
  </si>
  <si>
    <t>Formación en centros de trabajo (0610)</t>
  </si>
  <si>
    <t>Formación y orientación laboral (0608)</t>
  </si>
  <si>
    <t>Procesos de elaboración de calzado a medida (0605)</t>
  </si>
  <si>
    <t>Técnicas de fabricación de calzado a medida y ortopédico (0606)</t>
  </si>
  <si>
    <t>Transformación de calzado para espectáculos (0607)</t>
  </si>
  <si>
    <t>RD_258_2011</t>
  </si>
  <si>
    <t>Centrales de producción eléctrica (0672)</t>
  </si>
  <si>
    <t>Coordinación de equipos humanos (0675)</t>
  </si>
  <si>
    <t>Empresa e iniciativa emprendedora (0678)</t>
  </si>
  <si>
    <t>Formación en centros de trabajo (0679)</t>
  </si>
  <si>
    <t>Formación y orientación laboral (0677)</t>
  </si>
  <si>
    <t>Mantenimiento de centrales eléctricas (0674)</t>
  </si>
  <si>
    <t>Operación en centrales eléctricas (0673)</t>
  </si>
  <si>
    <t>Prevención de riesgos eléctricos (0671)</t>
  </si>
  <si>
    <t>Proyecto de centrales eléctricas (0676)</t>
  </si>
  <si>
    <t>Sistemas eléctricos en centrales (0668)</t>
  </si>
  <si>
    <t>Subestaciones eléctricas (0669)</t>
  </si>
  <si>
    <t>Telecontrol y automatismos (0670)</t>
  </si>
  <si>
    <t>Botánica agronómica (0690)</t>
  </si>
  <si>
    <t>Empresa e iniciativa emprendedora (0701)</t>
  </si>
  <si>
    <t>Formación en centros de trabajo (0702)</t>
  </si>
  <si>
    <t>Formación y orientación laboral (0700)</t>
  </si>
  <si>
    <t>Proyecto de paisajismo y medio rural (0699)</t>
  </si>
  <si>
    <t>RD_260_2011</t>
  </si>
  <si>
    <t>Empresa e iniciativa emprendedora (0819)</t>
  </si>
  <si>
    <t>Formación en centros de trabajo (0820)</t>
  </si>
  <si>
    <t>Formación y orientación laboral (0818)</t>
  </si>
  <si>
    <t>Proyecto de gestión forestal y conservación del medio (0817)</t>
  </si>
  <si>
    <t>Técnicas de educación ambiental (0790)</t>
  </si>
  <si>
    <t>RD_261_2021</t>
  </si>
  <si>
    <t>Diseño gráfico 2D y 3D (5049)</t>
  </si>
  <si>
    <t>Diseño, gestión, publicación y producción (5052)</t>
  </si>
  <si>
    <t>Programación en red e inteligencia artificial (5050)</t>
  </si>
  <si>
    <t>Programación y motores de videojuegos (5048)</t>
  </si>
  <si>
    <t>Realidad virtual y realidad aumentada (5051)</t>
  </si>
  <si>
    <t>RD_262_2021</t>
  </si>
  <si>
    <t>Implementación de redes 5G (5053)</t>
  </si>
  <si>
    <t>Mantenimiento de infraestructuras y redes 5G (5054)</t>
  </si>
  <si>
    <t>RD_263_2021</t>
  </si>
  <si>
    <t>Control, gestión y presupuestos (5059)</t>
  </si>
  <si>
    <t>Metodología BIM (5055)</t>
  </si>
  <si>
    <t>Modelos de arquitectura y estructuras (5056)</t>
  </si>
  <si>
    <t>Modelos de instalaciones eléctricas y comunicaciones (5058)</t>
  </si>
  <si>
    <t>Modelos de instalaciones mecánicas y sostenibilidad (5057)</t>
  </si>
  <si>
    <t>RD_279_2021</t>
  </si>
  <si>
    <t>Big Data aplicado (5075)</t>
  </si>
  <si>
    <t>Modelos de Inteligencia Artificial (5071)</t>
  </si>
  <si>
    <t>Programación de Inteligencia Artificial (5073)</t>
  </si>
  <si>
    <t>Sistemas de aprendizaje automático (5072)</t>
  </si>
  <si>
    <t>Sistemas de Big Data (5074)</t>
  </si>
  <si>
    <t>RD_280_2021</t>
  </si>
  <si>
    <t>Diseño de estructuras aligeradas y optimización topológica en fabricación (5066)</t>
  </si>
  <si>
    <t>Escaneado y reparación de mallas 3D (5068)</t>
  </si>
  <si>
    <t>Manejo, reparación y costos de la fabricación aditiva (5070)</t>
  </si>
  <si>
    <t>Modelado, laminado e impresión 3D (5067)</t>
  </si>
  <si>
    <t>Post procesado (5069)</t>
  </si>
  <si>
    <t>Tecnologías de fabricación aditiva (5065)</t>
  </si>
  <si>
    <t>RD_281_2021</t>
  </si>
  <si>
    <t>Formación en centros de trabajo (5064)</t>
  </si>
  <si>
    <t>Seguridad en vehículos híbridos y eléctricos (5060)</t>
  </si>
  <si>
    <t>Sistemas de propulsión en vehículos híbridos y eléctricos (5061)</t>
  </si>
  <si>
    <t>Sistemas eléctricos de alto voltaje, baterías y recarga (5062)</t>
  </si>
  <si>
    <t>Transmisión de fuerzas y gestión térmica (5063)</t>
  </si>
  <si>
    <t>RD_283_2019</t>
  </si>
  <si>
    <t>Contaminación ambiental y atmosférica (1552)</t>
  </si>
  <si>
    <t>Control de aguas (1548)</t>
  </si>
  <si>
    <t>Control de organismos nocivos (1553)</t>
  </si>
  <si>
    <t>Control de residuos (1549)</t>
  </si>
  <si>
    <t>Control y seguridad alimentaria (1551)</t>
  </si>
  <si>
    <t>Educación para la salud y el medio ambiente (1547)</t>
  </si>
  <si>
    <t>Empresa e iniciativa emprendedora (1557)</t>
  </si>
  <si>
    <t>Formación en centros de trabajo (1558)</t>
  </si>
  <si>
    <t>Formación y orientación laboral (1556)</t>
  </si>
  <si>
    <t>Proyecto de química y salud ambiental (1555)</t>
  </si>
  <si>
    <t>Salud y riesgos del medio construido (1550)</t>
  </si>
  <si>
    <t>Sistemas de gestión ambiental (1546)</t>
  </si>
  <si>
    <t>Unidad de salud ambiental (1554)</t>
  </si>
  <si>
    <t>RD_370_2001</t>
  </si>
  <si>
    <t>Administración, gestión y comercialización en la pequeña empresa (SODA)</t>
  </si>
  <si>
    <t>Anatomía, fisiopatología y ametropías oculares (SODA)</t>
  </si>
  <si>
    <t>Atención al cliente en establecimientos de productos ópticos (SODA)</t>
  </si>
  <si>
    <t>Diseño y fabricación de monturas ópticas (SODA)</t>
  </si>
  <si>
    <t>Formación y Orientación Laboral (SODA)</t>
  </si>
  <si>
    <t>Montaje y reparaciones ópticas (SODA)</t>
  </si>
  <si>
    <t>Procesos de fabricación de lentes de contacto (SODA)</t>
  </si>
  <si>
    <t>Procesos de fabricación de lentes oftalmológicas (SODA)</t>
  </si>
  <si>
    <t>Actividades de uso público (0792)</t>
  </si>
  <si>
    <t>Actividades humanas y problemática ambiental (0787)</t>
  </si>
  <si>
    <t>Desenvolvimiento en el medio (0793)</t>
  </si>
  <si>
    <t>Empresa e iniciativa emprendedora (0796)</t>
  </si>
  <si>
    <t>Estructura y dinámica del medio ambiente (0785)</t>
  </si>
  <si>
    <t>Formación en centros de trabajo (0797)</t>
  </si>
  <si>
    <t>Formación y orientación laboral (0795)</t>
  </si>
  <si>
    <t>Gestión ambiental (0788)</t>
  </si>
  <si>
    <t>Medio natural (0786)</t>
  </si>
  <si>
    <t>Métodos y productos cartográficos (0789)</t>
  </si>
  <si>
    <t>Programas de educación ambiental (0791)</t>
  </si>
  <si>
    <t>Proyecto de educación y control ambiental (0794)</t>
  </si>
  <si>
    <t>RD_385_2011</t>
  </si>
  <si>
    <t>Configuración de instalaciones solares fotovoltaicas (0681)</t>
  </si>
  <si>
    <t>Empresa e iniciativa emprendedora (0688)</t>
  </si>
  <si>
    <t>Formación en centros de trabajo (0689)</t>
  </si>
  <si>
    <t>Formación y orientación laboral (0687)</t>
  </si>
  <si>
    <t>Gestión del montaje de instalaciones solares fotovoltaicas (0682)</t>
  </si>
  <si>
    <t>Gestión del montaje de parques eólicos (0683)</t>
  </si>
  <si>
    <t>Operación y mantenimiento de parques eólicos (0684)</t>
  </si>
  <si>
    <t>Proyecto de energías renovables (0686)</t>
  </si>
  <si>
    <t>Sistemas de energías renovables (0680)</t>
  </si>
  <si>
    <t>Empresa e iniciativa emprendedora (0776)</t>
  </si>
  <si>
    <t>Formación en centros de trabajo (0777)</t>
  </si>
  <si>
    <t>Formación y orientación laboral (0775)</t>
  </si>
  <si>
    <t>Proyecto en obra civil (0774)</t>
  </si>
  <si>
    <t>Empresa e iniciativa emprendedora (0728)</t>
  </si>
  <si>
    <t>Formación en centros de trabajo (0729)</t>
  </si>
  <si>
    <t>Formación y orientación laboral (0727)</t>
  </si>
  <si>
    <t>RD_393_2022</t>
  </si>
  <si>
    <t>Aplicaciones profesionales (5096)</t>
  </si>
  <si>
    <t>Configuración y control (5094)</t>
  </si>
  <si>
    <t>Electrónica y sistemas (5093)</t>
  </si>
  <si>
    <t>Legislación y procedimientos de aplicación (5097)</t>
  </si>
  <si>
    <t>Mantenimiento y pruebas (5095)</t>
  </si>
  <si>
    <t>Partes y componentes (5092)</t>
  </si>
  <si>
    <t>Sistemas aéreos no tripulados (5091)</t>
  </si>
  <si>
    <t>RD_402_2020</t>
  </si>
  <si>
    <t>Atención a grupos (1328)</t>
  </si>
  <si>
    <t>Empresa e iniciativa emprendedora (1341)</t>
  </si>
  <si>
    <t>Formación en centros de trabajo (1342)</t>
  </si>
  <si>
    <t>Formación y orientación laboral (1340)</t>
  </si>
  <si>
    <t>Guía de baja y media montaña (1333)</t>
  </si>
  <si>
    <t>Guía de bicicleta (1334)</t>
  </si>
  <si>
    <t>Guía ecuestre (1327)</t>
  </si>
  <si>
    <t>Guía en el medio natural acuático (1338)</t>
  </si>
  <si>
    <t>Maniobras con cuerdas (1339)</t>
  </si>
  <si>
    <t>Organización de itinerarios (1329)</t>
  </si>
  <si>
    <t>Socorrismo en el medio natural (1337)</t>
  </si>
  <si>
    <t>Técnicas de equitación (1325)</t>
  </si>
  <si>
    <t>Técnicas de natación (1336)</t>
  </si>
  <si>
    <t>Técnicas de tiempo libre (1335)</t>
  </si>
  <si>
    <t>Empresa e iniciativa emprendedora (0494)</t>
  </si>
  <si>
    <t>Formación en centros de trabajo (0495)</t>
  </si>
  <si>
    <t>Formación y orientación laboral (0493)</t>
  </si>
  <si>
    <t>Programación de servicios y procesos (0490)</t>
  </si>
  <si>
    <t>Proyecto de desarrollo de aplicaciones multiplataforma (0492)</t>
  </si>
  <si>
    <t>Sistemas de gestión empresarial (0491)</t>
  </si>
  <si>
    <t>Biotecnología alimentaria (0463)</t>
  </si>
  <si>
    <t>Empresa e iniciativa emprendedora (0473)</t>
  </si>
  <si>
    <t>Formación en centros de trabajo (0474)</t>
  </si>
  <si>
    <t>Formación y orientación laboral (0472)</t>
  </si>
  <si>
    <t>Innovación alimentaria (0470)</t>
  </si>
  <si>
    <t>Nutrición y seguridad alimentaria (0468)</t>
  </si>
  <si>
    <t>Proyecto en procesos y calidad en la industria alimentaria (0471)</t>
  </si>
  <si>
    <t>Empresa e iniciativa emprendedora (0148)</t>
  </si>
  <si>
    <t>Formación en centros de trabajo (0149)</t>
  </si>
  <si>
    <t>Formación y orientación laboral (0147)</t>
  </si>
  <si>
    <t>Procesado de productos alimenticios (0144)</t>
  </si>
  <si>
    <t>Venta y comercialización de productos alimenticios (0146)</t>
  </si>
  <si>
    <t>Empresa e iniciativa emprendedora (0460)</t>
  </si>
  <si>
    <t>Formación en centros de trabajo (0461)</t>
  </si>
  <si>
    <t>Formación y orientación laboral (0459)</t>
  </si>
  <si>
    <t>Sistemas de transmisión y frenado (0455)</t>
  </si>
  <si>
    <t>RD_454_2010</t>
  </si>
  <si>
    <t>Empresa e iniciativa emprendedora (0425)</t>
  </si>
  <si>
    <t>Formación en centros de trabajo (0426)</t>
  </si>
  <si>
    <t>Formación y orientación laboral (0424)</t>
  </si>
  <si>
    <t>Normativa cerámica (0421)</t>
  </si>
  <si>
    <t>Técnicas y ensayos de desarrollo de productos (0423)</t>
  </si>
  <si>
    <t>RD_478_2020</t>
  </si>
  <si>
    <t>Análisis forense en ciberseguridad industrial (5030)</t>
  </si>
  <si>
    <t>Ciberseguridad en proyectos industriales (5027)</t>
  </si>
  <si>
    <t>Redes de comunicaciones industriales seguras (5029)</t>
  </si>
  <si>
    <t>Seguridad integral (5031)</t>
  </si>
  <si>
    <t>Sistemas de control industrial seguros (5028)</t>
  </si>
  <si>
    <t>RD_479_2020</t>
  </si>
  <si>
    <t>Análisis forense informático (5024)</t>
  </si>
  <si>
    <t>Bastionado de redes y sistemas (5022)</t>
  </si>
  <si>
    <t>Hacking ético (5025)</t>
  </si>
  <si>
    <t>Incidentes de ciberseguridad (5021)</t>
  </si>
  <si>
    <t>Normativa de ciberseguridad (5026)</t>
  </si>
  <si>
    <t>Puesta en producción segura (5023)</t>
  </si>
  <si>
    <t>RD_480_2020</t>
  </si>
  <si>
    <t>Estrategias del mantenimiento industrial (5032)</t>
  </si>
  <si>
    <t>Metrología e instrumentación inteligente (5012)</t>
  </si>
  <si>
    <t>Monitorización de maquinaria, sistemas y equipos (5034)</t>
  </si>
  <si>
    <t>Seguridad en el mantenimiento industrial (5033)</t>
  </si>
  <si>
    <t>Sistemas avanzados de ayuda al mantenimiento (5035)</t>
  </si>
  <si>
    <t>RD_481_2020</t>
  </si>
  <si>
    <t>Entornos conectados a red e Internet de las cosas (5013)</t>
  </si>
  <si>
    <t>Formación en centros de trabajo (5015)</t>
  </si>
  <si>
    <t>Procesos productivos inteligentes (5011)</t>
  </si>
  <si>
    <t>Virtualización de máquinas y procesos productivos (5014)</t>
  </si>
  <si>
    <t>RD_482_2020</t>
  </si>
  <si>
    <t>Bollería artesanal y hojaldres (5019)</t>
  </si>
  <si>
    <t>Cata y maridaje de productos de panificación (5020)</t>
  </si>
  <si>
    <t>Masas madre de cultivo y prefermentos (5016)</t>
  </si>
  <si>
    <t>Panes artesanos de cereales tradicionales, especiales y pseudocereales (5018)</t>
  </si>
  <si>
    <t>Tecnología del frío aplicada a la panadería artesanal (5017)</t>
  </si>
  <si>
    <t>RD_498_2003</t>
  </si>
  <si>
    <t>Administración, gestión y comercialización en la pequeña empresa (PE-J)</t>
  </si>
  <si>
    <t>Engastado (0E-J)</t>
  </si>
  <si>
    <t>Fabricación de joyería (DJ-J)</t>
  </si>
  <si>
    <t>Formación y orientación laboral (L-J2)</t>
  </si>
  <si>
    <t>Materiales empleados en fabricación de joyería (DJ-J)</t>
  </si>
  <si>
    <t>Mecanizado en joyería por CNC (PC-J)</t>
  </si>
  <si>
    <t>Microfusión (0M-J)</t>
  </si>
  <si>
    <t>Modelado en cera de piezas de joyería (DJ-J)</t>
  </si>
  <si>
    <t>Operaciones básicas en joyería (EJ-J)</t>
  </si>
  <si>
    <t>Relaciones en el equipo de trabajo (T-J2)</t>
  </si>
  <si>
    <t>Representación gráfica en joyería (EJ-J)</t>
  </si>
  <si>
    <t>RD_536_1995</t>
  </si>
  <si>
    <t>Alimentación equilibrada (E-SD)</t>
  </si>
  <si>
    <t>Control alimentario (A-SD)</t>
  </si>
  <si>
    <t>Dietoterapia (D-SD)</t>
  </si>
  <si>
    <t>Educación sanitaria y promoción de la salud (S-SD)</t>
  </si>
  <si>
    <t>Fisiopatología aplicada a la dietética (D-SD)</t>
  </si>
  <si>
    <t>Formación y Orientación Laboral (L-SD)</t>
  </si>
  <si>
    <t>Microbiología e higiene alimentaria (A-SD)</t>
  </si>
  <si>
    <t>Organización y gestión del área de trabajo asignada en la unidad-gabinete de dietética (D-SD)</t>
  </si>
  <si>
    <t>Relaciones en el entorno de trabajo (T-SD)</t>
  </si>
  <si>
    <t>RD_546_1995</t>
  </si>
  <si>
    <t>Formación y orientación laboral (CADE)</t>
  </si>
  <si>
    <t>Higiene del medio hospitalario y limpieza de material (CADE)</t>
  </si>
  <si>
    <t>Operaciones administrativas y documentación sanitaria (CADE)</t>
  </si>
  <si>
    <t>Promoción de la salud y apoyo psicológico al paciente (CADE)</t>
  </si>
  <si>
    <t>Relaciones en el equipo de trabajo (CADE)</t>
  </si>
  <si>
    <t>Técnicas básicas de enfermería (CADE)</t>
  </si>
  <si>
    <t>Técnicas de ayuda odontológica-estomatológica (CADE)</t>
  </si>
  <si>
    <t>RD_553_2012</t>
  </si>
  <si>
    <t>Caracterización de personajes (1261)</t>
  </si>
  <si>
    <t>Creación de prótesis faciales y corporales (1264)</t>
  </si>
  <si>
    <t>Diseño gráfico aplicado (1268)</t>
  </si>
  <si>
    <t>Efectos especiales a través del maquillaje (1263)</t>
  </si>
  <si>
    <t>Empresa e iniciativa emprendedora (1272)</t>
  </si>
  <si>
    <t>Formación en centros de trabajo (1273)</t>
  </si>
  <si>
    <t>Formación y orientación laboral (1271)</t>
  </si>
  <si>
    <t>Maquillaje profesional (1262)</t>
  </si>
  <si>
    <t>Peluquería para caracterización (1265)</t>
  </si>
  <si>
    <t>Planificación y proyectos (0685)</t>
  </si>
  <si>
    <t>Posticería (1266)</t>
  </si>
  <si>
    <t>Productos de caracterización y maquillaje (1269)</t>
  </si>
  <si>
    <t>Proyecto de caracterización y maquillaje profesional (1270)</t>
  </si>
  <si>
    <t>Almacenamiento y distribución en el laboratorio (1257)</t>
  </si>
  <si>
    <t>Empresa e iniciativa emprendedora (1259)</t>
  </si>
  <si>
    <t>Formación en centros de trabajo (1260)</t>
  </si>
  <si>
    <t>Formación y orientación laboral (1258)</t>
  </si>
  <si>
    <t>Conducción inicial (1204)</t>
  </si>
  <si>
    <t>Conducción racional y segura (1205)</t>
  </si>
  <si>
    <t>Empresa e iniciativa emprendedora (1212)</t>
  </si>
  <si>
    <t>Entorno normativo, económico y social del transporte (1206)</t>
  </si>
  <si>
    <t>Formación en centros de trabajo (1213)</t>
  </si>
  <si>
    <t>Formación y orientación laboral (1211)</t>
  </si>
  <si>
    <t>Servicios de transporte de mercancías (1207)</t>
  </si>
  <si>
    <t>Servicios de transporte de viajeros (1208)</t>
  </si>
  <si>
    <t>RD_556_2012</t>
  </si>
  <si>
    <t>Animación musical en vivo (1302)</t>
  </si>
  <si>
    <t>Animación visual en vivo (1303)</t>
  </si>
  <si>
    <t>Empresa e iniciativa emprendedora (1306)</t>
  </si>
  <si>
    <t>Formación en centros de trabajo (1307)</t>
  </si>
  <si>
    <t>Formación y orientación laboral (1305)</t>
  </si>
  <si>
    <t>Preparación de sesiones de vídeo disc-jockey (1301)</t>
  </si>
  <si>
    <t>RD_570_2023</t>
  </si>
  <si>
    <t>Acondicionamiento físico y defensa personal (1677)</t>
  </si>
  <si>
    <t>Empresa e iniciativa emprendedora (1682)</t>
  </si>
  <si>
    <t>Formación en centros de trabajo (1683)</t>
  </si>
  <si>
    <t>Formación y orientación laboral (1681)</t>
  </si>
  <si>
    <t>Guarderío rural, cinegético, fluvial y marítimo (1680)</t>
  </si>
  <si>
    <t>Habilidades sociopersonales (1675)</t>
  </si>
  <si>
    <t>Ordenamiento jurídico en seguridad (1674)</t>
  </si>
  <si>
    <t>Tecnología aplicada a la seguridad (1676)</t>
  </si>
  <si>
    <t>Vigilancia e intervención operativa básica en incendios (1678)</t>
  </si>
  <si>
    <t>Vigilancia y Protección (1679)</t>
  </si>
  <si>
    <t>Control de ejecución en obra civil (1292)</t>
  </si>
  <si>
    <t>Control de ejecución en obras de edificación (1291)</t>
  </si>
  <si>
    <t>Control de estructuras de construcción (1290)</t>
  </si>
  <si>
    <t>Empresa e iniciativa emprendedora (1296)</t>
  </si>
  <si>
    <t>Formación en centros de trabajo (1297)</t>
  </si>
  <si>
    <t>Formación y orientación laboral (1295)</t>
  </si>
  <si>
    <t>Proyecto de organización y control de obras de construcción (1294)</t>
  </si>
  <si>
    <t>Rehabilitación y conservación de obras de construcción (1293)</t>
  </si>
  <si>
    <t>RD_651_2017</t>
  </si>
  <si>
    <t>Acondicionamiento Físico en el agua (1151)</t>
  </si>
  <si>
    <t>Actividades básicas de acondicionamiento físico con soporte musical (1149)</t>
  </si>
  <si>
    <t>Actividades especializadas de acondicionamiento físico con soporte musical (1150)</t>
  </si>
  <si>
    <t>Control postural, bienestar y mantenimiento funcional (1153)</t>
  </si>
  <si>
    <t>Empresa e iniciativa emprendedora (1156)</t>
  </si>
  <si>
    <t>Fitness en sala de entrenamiento polivalente (1148)</t>
  </si>
  <si>
    <t>Formación en centros de trabajo (1157)</t>
  </si>
  <si>
    <t>Formación y orientación laboral (1155)</t>
  </si>
  <si>
    <t>Proyecto de acondicionamiento físico (1154)</t>
  </si>
  <si>
    <t>Técnicas de hidrocinesia (1152)</t>
  </si>
  <si>
    <t>Valoración de la condición física e intervención en accidentes (1136)</t>
  </si>
  <si>
    <t>RD_652_2017</t>
  </si>
  <si>
    <t>Adiestramiento (1324)</t>
  </si>
  <si>
    <t>Alimentación, manejo general y primeros auxilios de équidos (1319)</t>
  </si>
  <si>
    <t>Desbrave y doma a la cuerda de potros (1323)</t>
  </si>
  <si>
    <t>Empresa e iniciativa emprendedora (1331)</t>
  </si>
  <si>
    <t>Exhibiciones y concursos de ganado equino (1326)</t>
  </si>
  <si>
    <t>Formación en centros de trabajo (1332)</t>
  </si>
  <si>
    <t>Formación y orientación laboral (1330)</t>
  </si>
  <si>
    <t>Herrado de équidos (1322)</t>
  </si>
  <si>
    <t>Mantenimiento físico, cuidados e higiene equina (1320)</t>
  </si>
  <si>
    <t>Reproducción, cría y recría de équidos (1321)</t>
  </si>
  <si>
    <t>RD_653_2017</t>
  </si>
  <si>
    <t>Actividades físico-deportivas de equipo (1140)</t>
  </si>
  <si>
    <t>Actividades físico-deportivas de implementos (1141)</t>
  </si>
  <si>
    <t>Actividades físico-deportivas individuales (1139)</t>
  </si>
  <si>
    <t>Actividades físico-deportivas para la inclusión social (1142)</t>
  </si>
  <si>
    <t>Empresa e iniciativa emprendedora (1146)</t>
  </si>
  <si>
    <t>Formación en centros de trabajo (1147)</t>
  </si>
  <si>
    <t>Formación y orientación laboral (1145)</t>
  </si>
  <si>
    <t>Juegos y actividades físico-recreativas y de animación turística (1138)</t>
  </si>
  <si>
    <t>Metodología de la enseñanza de actividades físico-deportivas (1143)</t>
  </si>
  <si>
    <t>Planificación de la Animación Sociodeportiva (1137)</t>
  </si>
  <si>
    <t>Proyecto de enseñanza y Animación Sociodeportiva (1144)</t>
  </si>
  <si>
    <t>RD_686_2010</t>
  </si>
  <si>
    <t>Desarrollo web en entorno cliente (0612)</t>
  </si>
  <si>
    <t>Desarrollo web en entorno servidor (0613)</t>
  </si>
  <si>
    <t>Despliegue de aplicaciones web (0614)</t>
  </si>
  <si>
    <t>Diseño de interfaces WEB (0615)</t>
  </si>
  <si>
    <t>Empresa e iniciativa emprendedora (0618)</t>
  </si>
  <si>
    <t>Formación en centros de trabajo (0619)</t>
  </si>
  <si>
    <t>Formación y orientación laboral (0617)</t>
  </si>
  <si>
    <t>Proyecto de desarrollo de aplicaciones web (0616)</t>
  </si>
  <si>
    <t>RD_687_2010</t>
  </si>
  <si>
    <t>Control del aprovisionamiento de materias primas (0496)</t>
  </si>
  <si>
    <t>Empresa e iniciativa emprendedora (0507)</t>
  </si>
  <si>
    <t>Formación en centros de trabajo (0508)</t>
  </si>
  <si>
    <t>Formación y orientación laboral (0506)</t>
  </si>
  <si>
    <t>Gastronomía y nutrición (0502)</t>
  </si>
  <si>
    <t>Gestión de la producción en cocina (0500)</t>
  </si>
  <si>
    <t>Proyecto de dirección de cocina (0505)</t>
  </si>
  <si>
    <t>Recursos humanos y dirección de equipos en restauración (0504)</t>
  </si>
  <si>
    <t>RD_688_2010</t>
  </si>
  <si>
    <t>Empresa e iniciativa emprendedora (0515)</t>
  </si>
  <si>
    <t>Formación en centros de trabajo (0516)</t>
  </si>
  <si>
    <t>Formación y orientación laboral (0514)</t>
  </si>
  <si>
    <t>Gestión de la calidad y de la seguridad e higiene alimentaria (0501)</t>
  </si>
  <si>
    <t>Planificación y dirección de servicios y eventos en restauración (0512)</t>
  </si>
  <si>
    <t>Proyecto de Dirección de Servicios en Restauración (0513)</t>
  </si>
  <si>
    <t>Sumillería (0511)</t>
  </si>
  <si>
    <t>Diseño técnico de calzado y complementos (0593)</t>
  </si>
  <si>
    <t>Empresa e iniciativa emprendedora (0599)</t>
  </si>
  <si>
    <t>Formación en centros de trabajo (0600)</t>
  </si>
  <si>
    <t>Formación y orientación laboral (0598)</t>
  </si>
  <si>
    <t>Proyecto de diseño y producción de calzado y complementos (0597)</t>
  </si>
  <si>
    <t>Desarrollo de proyectos de edificación no residencial (0571)</t>
  </si>
  <si>
    <t>Empresa e iniciativa emprendedora (0574)</t>
  </si>
  <si>
    <t>Formación en centros de trabajo (0575)</t>
  </si>
  <si>
    <t>Formación y orientación laboral (0573)</t>
  </si>
  <si>
    <t>Proyecto en edificación (0572)</t>
  </si>
  <si>
    <t>RD_699_2019</t>
  </si>
  <si>
    <t>Empresa e iniciativa emprendedora (1649)</t>
  </si>
  <si>
    <t>Formación en centros de trabajo (1650)</t>
  </si>
  <si>
    <t>Formación y orientación laboral (1648)</t>
  </si>
  <si>
    <t>Proyecto de Termalismo y bienestar (1647)</t>
  </si>
  <si>
    <t>RD_74_2018</t>
  </si>
  <si>
    <t>Empresa e iniciativa emprendedora (1603)</t>
  </si>
  <si>
    <t>Formación en centros de trabajo (1605)</t>
  </si>
  <si>
    <t>Formación y orientación laboral (1604)</t>
  </si>
  <si>
    <t>Instalaciones eléctricas y electrónicas (1444)</t>
  </si>
  <si>
    <t>Montaje estructural aeronáutico (0801)</t>
  </si>
  <si>
    <t>Preparación y sellado de superficies (1445)</t>
  </si>
  <si>
    <t>Protección y pintado de aeronaves (1600)</t>
  </si>
  <si>
    <t>Sistemas de distribución de corriente, telecomunicaciones y aviónica (1601)</t>
  </si>
  <si>
    <t>Sistemas de mandos de vuelo, trenes de aterrizaje y de propulsión (1602)</t>
  </si>
  <si>
    <t>Sistemas mecánicos y de fluidos (1599)</t>
  </si>
  <si>
    <t>RD_767_2014</t>
  </si>
  <si>
    <t>Biología molecular y citogenética (1369)</t>
  </si>
  <si>
    <t>Empresa e iniciativa emprendedora (1385)</t>
  </si>
  <si>
    <t>Fisiopatología general (1370)</t>
  </si>
  <si>
    <t>Formación en centros de trabajo (1386)</t>
  </si>
  <si>
    <t>Formación y orientación laboral (1384)</t>
  </si>
  <si>
    <t>Proyecto de Anatomía Patológica y citodiagnóstico (1383)</t>
  </si>
  <si>
    <t>RD_768_2014</t>
  </si>
  <si>
    <t>Atención psicosocial al paciente-usuario (1521)</t>
  </si>
  <si>
    <t>Empresa e iniciativa emprendedora (1526)</t>
  </si>
  <si>
    <t>Formación en centros de trabajo (1527)</t>
  </si>
  <si>
    <t>Formación y orientación laboral (1525)</t>
  </si>
  <si>
    <t>Gestión administrativa sanitaria (1523)</t>
  </si>
  <si>
    <t>Gestión de pacientes (1515)</t>
  </si>
  <si>
    <t>Proyecto de documentación y administración sanitarias (1524)</t>
  </si>
  <si>
    <t>Terminología clínica y patología (1516)</t>
  </si>
  <si>
    <t>RD_769_2014</t>
  </si>
  <si>
    <t>Empresa e iniciativa emprendedora (0740)</t>
  </si>
  <si>
    <t>Formación en centros de trabajo (0741)</t>
  </si>
  <si>
    <t>Formación y orientación laboral (0739)</t>
  </si>
  <si>
    <t>Proyecto de higiene bucodental (0738)</t>
  </si>
  <si>
    <t>RD_770_2014</t>
  </si>
  <si>
    <t>Atención al paciente (1345)</t>
  </si>
  <si>
    <t>Empresa e iniciativa emprendedora (1357)</t>
  </si>
  <si>
    <t>Formación en centros de trabajo (1358)</t>
  </si>
  <si>
    <t>Formación y orientación laboral (1356)</t>
  </si>
  <si>
    <t>Fundamentos físicos y equipos (1346)</t>
  </si>
  <si>
    <t>Proyecto de imagen para el diagnóstico y medicina nuclear (1355)</t>
  </si>
  <si>
    <t>RD_771_2014</t>
  </si>
  <si>
    <t>Empresa e iniciativa emprendedora (1377)</t>
  </si>
  <si>
    <t>Formación en centros de trabajo (1378)</t>
  </si>
  <si>
    <t>Formación y orientación laboral (1376)</t>
  </si>
  <si>
    <t>Proyecto de laboratorio clínico y biomédico (1375)</t>
  </si>
  <si>
    <t>Técnicas de inmunodiagnóstico (1372)</t>
  </si>
  <si>
    <t>RD_772_2014</t>
  </si>
  <si>
    <t>Empresa e iniciativa emprendedora (1365)</t>
  </si>
  <si>
    <t>Formación en centros de trabajo (1366)</t>
  </si>
  <si>
    <t>Formación y orientación laboral (1364)</t>
  </si>
  <si>
    <t>Proyecto de radioterapia y dosimetría (1363)</t>
  </si>
  <si>
    <t>Ámbitos de intervención para la promoción de igualdad (1404)</t>
  </si>
  <si>
    <t>Empresa e iniciativa emprendedora (1409)</t>
  </si>
  <si>
    <t>Formación en centros de trabajo (1410)</t>
  </si>
  <si>
    <t>Formación y orientación laboral (1408)</t>
  </si>
  <si>
    <t>Información y comunicación con perspectiva de género (1401)</t>
  </si>
  <si>
    <t>Intervención socioeducativa para la igualdad (1406)</t>
  </si>
  <si>
    <t>Participación social de las mujeres (1405)</t>
  </si>
  <si>
    <t>Prevención de la violencia de género (1402)</t>
  </si>
  <si>
    <t>Promoción del empleo femenino (1403)</t>
  </si>
  <si>
    <t>Proyecto de promoción de igualdad de género (1407)</t>
  </si>
  <si>
    <t>Empresa e iniciativa emprendedora (1121)</t>
  </si>
  <si>
    <t>Formación en centros de trabajo (1122)</t>
  </si>
  <si>
    <t>Formación y orientación laboral (1120)</t>
  </si>
  <si>
    <t>Intervención con personas con dificultades de comunicación (1117)</t>
  </si>
  <si>
    <t>Metodología de la integración social de las personas con dificultades de comunicación, lenguaje y habla (1111)</t>
  </si>
  <si>
    <t>Proyecto de mediación comunicativa (1119)</t>
  </si>
  <si>
    <t>Sensibilización social y participación (1112)</t>
  </si>
  <si>
    <t>RD_832_2014</t>
  </si>
  <si>
    <t>Acondicionamiento y almacenamiento de productos farmacéuticos, biotecnológicos y afines (1396)</t>
  </si>
  <si>
    <t>Empresa e iniciativa emprendedora (1399)</t>
  </si>
  <si>
    <t>Formación en centros de trabajo (1400)</t>
  </si>
  <si>
    <t>Formación y orientación laboral (1398)</t>
  </si>
  <si>
    <t>Principios de biotecnología (1390)</t>
  </si>
  <si>
    <t>Proyecto de fabricación de productos farmacéuticos, biotecnológicos y afines (1397)</t>
  </si>
  <si>
    <t>Regulación y control en la industria farmacéutica, biotecnológica y afines (1395)</t>
  </si>
  <si>
    <t>Técnicas de producción biotecnológica (1393)</t>
  </si>
  <si>
    <t>RD_838_2015</t>
  </si>
  <si>
    <t>Empresa e iniciativa emprendedora (1596)</t>
  </si>
  <si>
    <t>Formación en centros de trabajo (1598)</t>
  </si>
  <si>
    <t>Formación y orientación laboral (1597)</t>
  </si>
  <si>
    <t>Gestión del montaje y mantenimiento de sistemas de electromedicina (1594)</t>
  </si>
  <si>
    <t>Planificación de la adquisición de sistemas de electromedicina (1593)</t>
  </si>
  <si>
    <t>Proyecto de electromedicina clínica (1595)</t>
  </si>
  <si>
    <t>Sistemas de laboratorio y hemodiálisis (1590)</t>
  </si>
  <si>
    <t>Sistemas de monitorización, registro y cuidados críticos (1589)</t>
  </si>
  <si>
    <t>Sistemas de radiodiagnóstico, radioterapia e imagen médica (1588)</t>
  </si>
  <si>
    <t>Sistemas de rehabilitación y pruebas funcionales (1591)</t>
  </si>
  <si>
    <t>Tecnología sanitaria en el ámbito clínico (1592)</t>
  </si>
  <si>
    <t>RD_838_2020</t>
  </si>
  <si>
    <t>Acabados de tableros (1641)</t>
  </si>
  <si>
    <t>Aserrado y despiece de la madera (1638)</t>
  </si>
  <si>
    <t>Automatización del mecanizado de la madera (1643)</t>
  </si>
  <si>
    <t>Empresa e iniciativa emprendedora (1645)</t>
  </si>
  <si>
    <t>Fabricación de tableros (1640)</t>
  </si>
  <si>
    <t>Formación en centros de trabajo (1646)</t>
  </si>
  <si>
    <t>Formación y orientación laboral (1644)</t>
  </si>
  <si>
    <t>Recepción y almacén en industrias de la madera (1637)</t>
  </si>
  <si>
    <t>Tratamientos de la madera (1639)</t>
  </si>
  <si>
    <t>Empresa e iniciativa emprendedora (0783)</t>
  </si>
  <si>
    <t>Formación en centros de trabajo (0784)</t>
  </si>
  <si>
    <t>Formación y orientación laboral (0782)</t>
  </si>
  <si>
    <t>RD_881_2011</t>
  </si>
  <si>
    <t>Empresa e iniciativa emprendedora (0756)</t>
  </si>
  <si>
    <t>Formación en centros de trabajo (0757)</t>
  </si>
  <si>
    <t>Formación y orientación laboral (0755)</t>
  </si>
  <si>
    <t>Proyecto de estética integral y bienestar (0754)</t>
  </si>
  <si>
    <t>Tratamientos estéticos integrales (0753)</t>
  </si>
  <si>
    <t>Caracterización de materiales (0530)</t>
  </si>
  <si>
    <t>Empresa e iniciativa emprendedora (0536)</t>
  </si>
  <si>
    <t>Formación en centros de trabajo (0537)</t>
  </si>
  <si>
    <t>Formación y orientación laboral (0535)</t>
  </si>
  <si>
    <t>Proyecto de programación de la producción en moldeo de metales y polímeros (0534)</t>
  </si>
  <si>
    <t>Elementos de sistemas de telecomunicaciones (0551)</t>
  </si>
  <si>
    <t>Empresa e iniciativa emprendedora (0560)</t>
  </si>
  <si>
    <t>Formación en centros de trabajo (0561)</t>
  </si>
  <si>
    <t>Formación y orientación laboral (0559)</t>
  </si>
  <si>
    <t>Proyecto de sistemas de telecomunicaciones e informáticos (0558)</t>
  </si>
  <si>
    <t>Sistemas de radiocomunicaciones (0556)</t>
  </si>
  <si>
    <t>Sistemas integrados y hogar digital (0557)</t>
  </si>
  <si>
    <t>RD_90_2018</t>
  </si>
  <si>
    <t>Empresa e iniciativa emprendedora (1635)</t>
  </si>
  <si>
    <t>Formación en centros de trabajo (1636)</t>
  </si>
  <si>
    <t>Formación y orientación laboral (1634)</t>
  </si>
  <si>
    <t>Mantenimiento de cubiertas y cascos de madera en embarcaciones de recreo (1631)</t>
  </si>
  <si>
    <t>Mantenimiento de elementos estructurales de madera de embarcaciones de recreo (1632)</t>
  </si>
  <si>
    <t>Mantenimiento de elementos interiores de madera y mobiliario de embarcaciones de recreo (1633)</t>
  </si>
  <si>
    <t>Mecanizado de elementos de carpintería de ribera (1630)</t>
  </si>
  <si>
    <t>Preparación de embarcaciones de recreo para trabajos de mantenimiento (1618)</t>
  </si>
  <si>
    <t>RD_904_2022</t>
  </si>
  <si>
    <t>Configuración y programación (5088)</t>
  </si>
  <si>
    <t>Robótica colaborativa (5087)</t>
  </si>
  <si>
    <t>Robots Móviles Autónomos (5089)</t>
  </si>
  <si>
    <t>Seguridad y mantenimiento (5090)</t>
  </si>
  <si>
    <t>RD_905_2013</t>
  </si>
  <si>
    <t>Atención psicosocial (0332)</t>
  </si>
  <si>
    <t>Empresa e iniciativa emprendedora (0335)</t>
  </si>
  <si>
    <t>Formación en centros de trabajo (0336)</t>
  </si>
  <si>
    <t>Formación y orientación laboral (0334)</t>
  </si>
  <si>
    <t>Proyecto de ortoprótesis y productos de apoyo (0333)</t>
  </si>
  <si>
    <t>RD_906_2013</t>
  </si>
  <si>
    <t>Empresa e iniciativa emprendedora (1513)</t>
  </si>
  <si>
    <t>Evaluación de riesgos y medidas preventivas (1502)</t>
  </si>
  <si>
    <t>Formación en centros de trabajo (1514)</t>
  </si>
  <si>
    <t>Formación y orientación laboral (1512)</t>
  </si>
  <si>
    <t>Gestión de recursos de emergencias y protección civil (1510)</t>
  </si>
  <si>
    <t>Planificación en emergencias y protección civil (1501)</t>
  </si>
  <si>
    <t>Planificación y desarrollo de acciones formativas, informativas y divulgativas en protección civil y emergencias (1503)</t>
  </si>
  <si>
    <t>Proyecto de coordinación de emergencias y protección civil (1511)</t>
  </si>
  <si>
    <t>Supervisión de la intervención en incendios forestales y quemas prescritas (1506)</t>
  </si>
  <si>
    <t>Supervisión de la intervención en operaciones de incendios urbanos y emergencias ordinarias (1507)</t>
  </si>
  <si>
    <t>Supervisión de la intervención en operaciones de salvamento y rescate (1508)</t>
  </si>
  <si>
    <t>Supervisión de la intervención en riesgos producidos por fenómenos naturales (1504)</t>
  </si>
  <si>
    <t>Supervisión de la intervención en riesgos tecnológicos y antrópicos (1505)</t>
  </si>
  <si>
    <t>Supervisión de las acciones de apoyo a las personas afectadas por desastres y catástrofes (1509)</t>
  </si>
  <si>
    <t>RD_907_2013</t>
  </si>
  <si>
    <t>Coordinación de equipos y unidades de emergencias (1534)</t>
  </si>
  <si>
    <t>Empresa e iniciativa emprendedora (1536)</t>
  </si>
  <si>
    <t>Formación en centros de trabajo (1537)</t>
  </si>
  <si>
    <t>Formación y orientación laboral (1535)</t>
  </si>
  <si>
    <t>Inspección de establecimientos, eventos e instalaciones para la prevención de incendios y emergencias (1533)</t>
  </si>
  <si>
    <t>Intervención operativa en actividades de salvamento y rescate (1532)</t>
  </si>
  <si>
    <t>Intervención operativa en extinción de incendios urbanos (1530)</t>
  </si>
  <si>
    <t>Intervención operativa en sucesos de origen natural, tecnológico y antrópico (1531)</t>
  </si>
  <si>
    <t>Mantenimiento y comprobación del funcionamiento de los medios materiales empleados en la prevención de riesgos de incendios y emergencias (1528)</t>
  </si>
  <si>
    <t>Vigilancia e intervención operativa en incendios forestales (1529)</t>
  </si>
  <si>
    <t>RD_91_2018</t>
  </si>
  <si>
    <t>Empresa e iniciativa emprendedora (1627)</t>
  </si>
  <si>
    <t>Formación en centros de trabajo (1628)</t>
  </si>
  <si>
    <t>Formación y orientación laboral (1626)</t>
  </si>
  <si>
    <t>Mantenimiento de aparejos de embarcaciones de recreo (1624)</t>
  </si>
  <si>
    <t>Mantenimiento de cubiertas de madera y adaptación/reparación de mobiliario en embarcaciones de recreo (1625)</t>
  </si>
  <si>
    <t>Mantenimiento de instalaciones de equipos electrónicos e informáticos de embarcaciones de recreo (1623)</t>
  </si>
  <si>
    <t>Mantenimiento de sistemas de refrigeración y de climatización en embarcaciones de recreo (1620)</t>
  </si>
  <si>
    <t>Mantenimiento de superficies y elementos de materiales compuestos de embarcaciones de recreo (1621)</t>
  </si>
  <si>
    <t>Mantenimiento del sistema de propulsión y equipos auxiliares de las embarcaciones de recreo (1619)</t>
  </si>
  <si>
    <t>Tratamientos superficiales y pintado de embarcaciones de recreo (1622)</t>
  </si>
  <si>
    <t>RD_921_2022</t>
  </si>
  <si>
    <t>Análisis de la situación energética de edificios e instalaciones (5107)</t>
  </si>
  <si>
    <t>Evaluación de la mejora energética de edificios e instalaciones (5108)</t>
  </si>
  <si>
    <t>Procesos de una auditoría energética (5105)</t>
  </si>
  <si>
    <t>Toma de datos y mediciones de consumos energéticos (5106)</t>
  </si>
  <si>
    <t>RD_93_2019</t>
  </si>
  <si>
    <t>Aplicaciones de cultivos celulares (5005)</t>
  </si>
  <si>
    <t>Cultivos celulares (5001)</t>
  </si>
  <si>
    <t>Formación en Centros de Trabajo (5006)</t>
  </si>
  <si>
    <t>Laboratorio de cultivos celulares (5004)</t>
  </si>
  <si>
    <t>Normas de calidad y regulación aplicables a cultivos celulares (5003)</t>
  </si>
  <si>
    <t>Técnicas complementarias en cultivos celulares (5002)</t>
  </si>
  <si>
    <t>RD_94_2019</t>
  </si>
  <si>
    <t>Audiodescripción de obras audiovisuales, eventos y espectáculos en vivo (5007)</t>
  </si>
  <si>
    <t>Formación en Centros de Trabajo (5010)</t>
  </si>
  <si>
    <t>Locución, autoría y audionavegación (5009)</t>
  </si>
  <si>
    <t>Subtitulación de obras audiovisuales, eventos y espectáculos en vivo (5008)</t>
  </si>
  <si>
    <t>Empresa e iniciativa emprendedora (0289)</t>
  </si>
  <si>
    <t>Formación en centros de trabajo (0290)</t>
  </si>
  <si>
    <t>Formación y orientación laboral (0288)</t>
  </si>
  <si>
    <t>Moda y tendencias (0264)</t>
  </si>
  <si>
    <t>Proyecto de Patronaje y Moda (0287)</t>
  </si>
  <si>
    <t>Técnicas en confección (0277)</t>
  </si>
  <si>
    <t>RD_955_2008</t>
  </si>
  <si>
    <t>Confección a medida (0268)</t>
  </si>
  <si>
    <t>Empresa e iniciativa emprendedora (0273)</t>
  </si>
  <si>
    <t>Formación en centros de trabajo (0274)</t>
  </si>
  <si>
    <t>Formación y orientación laboral (0272)</t>
  </si>
  <si>
    <t>Patrones (0265)</t>
  </si>
  <si>
    <t>Comercialización de productos alimentarios</t>
  </si>
  <si>
    <t>Técnico en Acabados de Construcción (RD_2211/1993)</t>
  </si>
  <si>
    <t>Técnico en Aceites de Oliva y Vinos (RD_1798/2008)</t>
  </si>
  <si>
    <t>Técnico en Actividades Comerciales (RD_1688/2011)</t>
  </si>
  <si>
    <t>Técnico en Actividades Ecuestres (RD_652/2017)</t>
  </si>
  <si>
    <t>Técnico en Aprovechamiento y Conservación del Medio Natural (RD_1071/2012)</t>
  </si>
  <si>
    <t>Técnico en Atención a Personas en Situación de Dependencia (RD_1593/2011)</t>
  </si>
  <si>
    <t>Técnico en Atención Sociosanitaria (RD_496/2003)</t>
  </si>
  <si>
    <t>Técnico en Buceo de Media Profundidad (RD_727/1994)</t>
  </si>
  <si>
    <t>Técnico en Calzado y Complementos de Moda (RD_257/2011)</t>
  </si>
  <si>
    <t>Técnico en Calzado y Marroquinería (RD_742/1994)</t>
  </si>
  <si>
    <t>Técnico en caracterización (RD_631/1995)</t>
  </si>
  <si>
    <t>Técnico en Carpintería y Mueble (RD_1128/2010)</t>
  </si>
  <si>
    <t>Técnico en Carrocería (RD_1650/1994)</t>
  </si>
  <si>
    <t>Técnico en Carrocería (RD_176/2008)</t>
  </si>
  <si>
    <t>Técnico en Cocina (RD_2219/1993)</t>
  </si>
  <si>
    <t>Técnico en Cocina y Gastronomía (RD_1396/2007)</t>
  </si>
  <si>
    <t>Técnico en Comercialización de Productos Alimentarios (RD_189/2018)</t>
  </si>
  <si>
    <t>Técnico en Comercio (RD_1655/1994)</t>
  </si>
  <si>
    <t>Técnico en Conducción de Actividades Físico-Deportivas en el Medio Natural (RD_2049/1995)</t>
  </si>
  <si>
    <t>Técnico en Conducción de Vehículos de Transporte por Carretera (RD_555/2012)</t>
  </si>
  <si>
    <t>Técnico en Confección (RD_743/1994)</t>
  </si>
  <si>
    <t>Técnico en Confección y Moda (RD_955/2008)</t>
  </si>
  <si>
    <t>Técnico en Conformado por Moldeo de Metales y Polímeros (RD_387/2011)</t>
  </si>
  <si>
    <t>Técnico en Conservería Vegetal, Cárnica y de Pescado (RD_2052/1995)</t>
  </si>
  <si>
    <t>Técnico en Construcción (RD_1575/2011)</t>
  </si>
  <si>
    <t>Técnico en Cuidados Auxiliares de Enfermería (RD_546/1995)</t>
  </si>
  <si>
    <t>Técnico en Cultivos Acuícolas (RD_254/2011)</t>
  </si>
  <si>
    <t>Técnico en Elaboración de Aceites y Jugos (RD_2053/1995)</t>
  </si>
  <si>
    <t>Técnico en Elaboración de productos alimenticios (RD_452/2010)</t>
  </si>
  <si>
    <t>Técnico en Elaboración de Productos Lácteos (RD_2054/1995)</t>
  </si>
  <si>
    <t>Técnico en Elaboración de Vinos y Otras Bebidas (RD_2055/1995)</t>
  </si>
  <si>
    <t>Técnico en Electromecánica de Maquinaria (RD_255/2011)</t>
  </si>
  <si>
    <t>Técnico en Electromecánica de Vehículos (RD_1649/1994)</t>
  </si>
  <si>
    <t>Técnico en Electromecánica de Vehículos Automóviles (RD_453/2010)</t>
  </si>
  <si>
    <t>Técnico en Emergencias Sanitarias (RD_1397/2007)</t>
  </si>
  <si>
    <t>Técnico en Emergencias y Protección Civil (RD_907/2013)</t>
  </si>
  <si>
    <t>Técnico en Encuadernación y Manipulados de Papel y Cartón (RD_2426/1994)</t>
  </si>
  <si>
    <t>Técnico en Equipos e Instalaciones Electrotécnicas (RD_623/1995)</t>
  </si>
  <si>
    <t>Técnico en Equipos Electrónicos de Consumo (RD_624/1995)</t>
  </si>
  <si>
    <t>Técnico en Estética Personal Decorativa (RD_630/1995)</t>
  </si>
  <si>
    <t>Técnico en Estética y Belleza (RD_256/2011)</t>
  </si>
  <si>
    <t>Técnico en Excavaciones y Sondeos (RD_1592/2011)</t>
  </si>
  <si>
    <t>Técnico en Explotación de Sistemas Informáticos (RD_497/2003)</t>
  </si>
  <si>
    <t>Técnico en Explotaciones Agrarias Extensivas (RD_1715/1996)</t>
  </si>
  <si>
    <t>Técnico en Explotaciones Agrícolas Intensivas (RD_1716/1996)</t>
  </si>
  <si>
    <t>Técnico en Explotaciones Ganaderas (RD_1717/1996)</t>
  </si>
  <si>
    <t>Técnico en Fabricación a Medida e Instalación de Carpintería y Mueble (RD_732/1994)</t>
  </si>
  <si>
    <t>Técnico en Fabricación de Productos Cerámicos (RD_454/2010)</t>
  </si>
  <si>
    <t>Técnico en Fabricación Industrial de Carpintería y Mueble (RD_731/1994)</t>
  </si>
  <si>
    <t>Técnico en Fabricación y Ennoblecimiento de Productos Textiles (RD_1591/2011)</t>
  </si>
  <si>
    <t>Técnico en Farmacia (RD_547/1995)</t>
  </si>
  <si>
    <t>Técnico en Farmacia y Parafarmacia (RD_1689/2007)</t>
  </si>
  <si>
    <t>Técnico en Fundición (RD_2421/1994)</t>
  </si>
  <si>
    <t>Técnico en Gestión Administrativa (RD_1631/2009)</t>
  </si>
  <si>
    <t>Técnico en Gestión Administrativa (RD_1662/1994)</t>
  </si>
  <si>
    <t>Técnico en Guía en el medio natural y de tiempo libre (RD_402/2020)</t>
  </si>
  <si>
    <t>Técnico en Impresión en Artes Graficas (RD_2425/1994)</t>
  </si>
  <si>
    <t>Técnico en Impresión Gráfica (RD_1590/2011)</t>
  </si>
  <si>
    <t>Técnico en Instalación y Amueblamiento (RD_880/2011)</t>
  </si>
  <si>
    <t>Técnico en Instalación y Mantenimiento Electromecánico de Maquinaria y Conducción de Lineas (RD_2045/1995)</t>
  </si>
  <si>
    <t>Técnico en Instalaciones de Producción de Calor (RD_1792/2010)</t>
  </si>
  <si>
    <t>Técnico en Instalaciones de Telecomunicaciones (RD_1632/2009)</t>
  </si>
  <si>
    <t>Técnico en Instalaciones Eléctricas y Automáticas (RD_177/2008)</t>
  </si>
  <si>
    <t>Técnico en Instalaciones Frigoríficas y de Climatización (RD_1793/2010)</t>
  </si>
  <si>
    <t>Técnico en Jardinería (RD_1714/1996)</t>
  </si>
  <si>
    <t>Técnico en Jardinería y Floristería (RD_1129/2010)</t>
  </si>
  <si>
    <t>Técnico en Joyería (RD_498/2003)</t>
  </si>
  <si>
    <t>Técnico en Laboratorio (RD_817/1993)</t>
  </si>
  <si>
    <t>Técnico en Laboratorio de Imagen (RD_2037/1995)</t>
  </si>
  <si>
    <t>Técnico en Mantenimiento de embarcaciones de recreo (RD_91/2018)</t>
  </si>
  <si>
    <t>Técnico en Mantenimiento de estructuras de madera y mobiliario de embarcaciones de recreo (RD_90/2018)</t>
  </si>
  <si>
    <t>Técnico en Mantenimiento de Material Rodante Ferroviario (RD_1145/2012)</t>
  </si>
  <si>
    <t>Técnico en Mantenimiento Electromecánico (RD_1589/2011)</t>
  </si>
  <si>
    <t>Técnico en Mantenimiento Ferroviario (RD_2047/1995)</t>
  </si>
  <si>
    <t>Técnico en Mantenimiento y Control de la Maquinaria de Buques y Embarcaciones (RD_1072/2012)</t>
  </si>
  <si>
    <t>Técnico en Matadero y Carnicería-Charcutería (RD_2051/1995)</t>
  </si>
  <si>
    <t>Técnico en Mecanizado (RD_1398/2007)</t>
  </si>
  <si>
    <t>Técnico en Mecanizado (RD_2419/1994)</t>
  </si>
  <si>
    <t>Técnico en Molinería e Industrias Cerealistas (RD_2056/1995)</t>
  </si>
  <si>
    <t>Técnico en Montaje de estructuras e instalación de sistemas aeronáuticos (RD_74/2018)</t>
  </si>
  <si>
    <t>Técnico en Montaje y Mantenimiento de Instalaciones de Frío, Climatización y Producción de Calor (RD_2046/1995)</t>
  </si>
  <si>
    <t>Técnico en Navegación y Pesca de Litoral (RD_1144/2012)</t>
  </si>
  <si>
    <t>Técnico en Obras de Albañilería (RD_2212/1993)</t>
  </si>
  <si>
    <t>Técnico en Obras de Hormigón (RD_2213/1993)</t>
  </si>
  <si>
    <t>Técnico en Obras de Interior, Decoración y Rehabilitación (RD_1689/2011)</t>
  </si>
  <si>
    <t>Técnico en Operación y Mantenimiento de Maquinaria de Construcción (RD_2214/1993)</t>
  </si>
  <si>
    <t>Técnico en Operación, Control y Mantenimiento de Máquinas e Instalaciones del Buque (RD_725/1994)</t>
  </si>
  <si>
    <t>Técnico en Operaciones de Cultivo Acuícola (RD_726/1994)</t>
  </si>
  <si>
    <t>Técnico en Operaciones de Ennoblecimiento Textil (RD_741/1994)</t>
  </si>
  <si>
    <t>Técnico en Operaciones de Fabricación de Productos Cerámicos (RD_2040/1995)</t>
  </si>
  <si>
    <t>Técnico en operaciones de fabricación de productos farmacéuticos (RD_816/1993)</t>
  </si>
  <si>
    <t>Técnico en Operaciones de Fabricación de Vidrio y Transformados (RD_2041/1995)</t>
  </si>
  <si>
    <t>Técnico en Operaciones de Laboratorio (RD_554/2012)</t>
  </si>
  <si>
    <t>Técnico en operaciones de proceso de pasta y papel (RD_815/1993)</t>
  </si>
  <si>
    <t>Técnico en Operaciones de Proceso en Planta Química (RD_814/1993)</t>
  </si>
  <si>
    <t>Técnico en operaciones de transformación de plásticos y caucho (RD_818/1993)</t>
  </si>
  <si>
    <t>Técnico en Operaciones Subacuáticas e Hiperbáricas (RD_1073/2012)</t>
  </si>
  <si>
    <t>Técnico en Panadería, Repostería y Confitería (RD_1399/2007)</t>
  </si>
  <si>
    <t>Técnico en Panificación y Repostería (RD_2057/1995)</t>
  </si>
  <si>
    <t>Técnico en Pastelería y Panadería (RD_2220/1993)</t>
  </si>
  <si>
    <t>Técnico en Peluquería (RD_629/1995)</t>
  </si>
  <si>
    <t>Técnico en Peluquería y Cosmética Capilar (RD_1588/2011)</t>
  </si>
  <si>
    <t>Técnico en Pesca y Transporte Marítimo (RD_724/1994)</t>
  </si>
  <si>
    <t>Técnico en Piedra Natural (RD_1587/2011)</t>
  </si>
  <si>
    <t>Técnico en Planta Química (RD_178/2008)</t>
  </si>
  <si>
    <t>Técnico en Postimpresión y Acabados Gráficos (RD_1683/2011)</t>
  </si>
  <si>
    <t>Técnico en Preimpresión Digital (RD_1586/2011)</t>
  </si>
  <si>
    <t>Técnico en Preimpresión en Artes Graficas (RD_2424/1994)</t>
  </si>
  <si>
    <t>Técnico en Procesado y transformación de la madera (RD_838/2020)</t>
  </si>
  <si>
    <t>Técnico en Producción Agroecológica (RD_1633/2009)</t>
  </si>
  <si>
    <t>Técnico en Producción Agropecuaria (RD_1634/2009)</t>
  </si>
  <si>
    <t>Técnico en Producción de Hilatura y Tejeduría de Calada (RD_739/1994)</t>
  </si>
  <si>
    <t>Técnico en Producción de Tejidos de Punto (RD_740/1994)</t>
  </si>
  <si>
    <t>Técnico en Redes y Estaciones de Tratamiento de Aguas (RD_114/2017)</t>
  </si>
  <si>
    <t>Técnico en Seguridad (RD_570/2023)</t>
  </si>
  <si>
    <t>Técnico en Servicios de Restaurante y Bar (RD_2221/1993)</t>
  </si>
  <si>
    <t>Técnico en Servicios en Restauración (RD_1690/2007)</t>
  </si>
  <si>
    <t>Técnico en Sistemas Microinformáticos y Redes (RD_1691/2007)</t>
  </si>
  <si>
    <t>Técnico en Soldadura y Calderería (RD_1657/1994)</t>
  </si>
  <si>
    <t>Técnico en Soldadura y Calderería (RD_1692/2007)</t>
  </si>
  <si>
    <t>Técnico en Trabajos Forestales y de Conservación del Medio Natural (RD_1713/1996)</t>
  </si>
  <si>
    <t>Técnico en Transformación de Madera y Corcho (RD_730/1994)</t>
  </si>
  <si>
    <t>Técnico en Tratamientos Superficiales y Térmicos (RD_2420/1994)</t>
  </si>
  <si>
    <t>Técnico en Vídeo Disc-jockey y Sonido (RD_556/2012)</t>
  </si>
  <si>
    <t>Técnico Superior Artista Fallero y Construcción de Escenografías (RD_1690/2011)</t>
  </si>
  <si>
    <t>Técnico Superior en Acondicionamiento Físico (RD_651/2017)</t>
  </si>
  <si>
    <t>Técnico Superior en Acuicultura (RD_1585/2011)</t>
  </si>
  <si>
    <t>Técnico superior en Administración de Sistemas Informáticos (RD_1660/1994)</t>
  </si>
  <si>
    <t>Técnico Superior en Administración de Sistemas Informáticos en Red (RD_1629/2009)</t>
  </si>
  <si>
    <t>Técnico superior en Agencias de Viajes (RD_2215/1993)</t>
  </si>
  <si>
    <t>Técnico Superior en Agencias de Viajes y Gestión de Eventos (RD_1254/2009)</t>
  </si>
  <si>
    <t>Técnico superior en Alojamiento (RD_2216/1993)</t>
  </si>
  <si>
    <t>Técnico superior en Análisis y Control (RD_811/1993)</t>
  </si>
  <si>
    <t>Técnico Superior en Anatomía Patológica y Citodiagnóstico (RD_767/2014)</t>
  </si>
  <si>
    <t>Técnico superior en Anatomía Patológica y Citología (RD_538/1995)</t>
  </si>
  <si>
    <t>Técnico superior en Animación de Actividades Físicas y Deportivas (RD_2048/1995)</t>
  </si>
  <si>
    <t>Técnico Superior en Animación Socio-cultural (RD_2058/1995)</t>
  </si>
  <si>
    <t>Técnico Superior en Animación Sociocultural y Turística (RD_1684/2011)</t>
  </si>
  <si>
    <t>Técnico superior en Animación Turística (RD_274/2000)</t>
  </si>
  <si>
    <t>Técnico Superior en Animaciones 3D, Juegos y Entornos Interactivos (RD_1583/2011)</t>
  </si>
  <si>
    <t>Técnico superior en Asesoría de Imagen Personal (RD_627/1995)</t>
  </si>
  <si>
    <t>Técnico Superior en Asesoría de Imagen Personal y Corporativa (RD_1685/2011)</t>
  </si>
  <si>
    <t>Técnico Superior en Asistencia a la Dirección (RD_1582/2011)</t>
  </si>
  <si>
    <t>Técnico Superior en Audiología Protésica (RD_1685/2007)</t>
  </si>
  <si>
    <t>Técnico superior en Audioprótesis (RD_62/2001)</t>
  </si>
  <si>
    <t>Técnico Superior en Automatización y Robótica Industrial (RD_1581/2011)</t>
  </si>
  <si>
    <t>Técnico superior en Automoción (RD_1648/1994)</t>
  </si>
  <si>
    <t>Técnico Superior en Automoción (RD_1796/2008)</t>
  </si>
  <si>
    <t>Técnico Superior en Caracterización y Maquillaje Profesional (RD_553/2012)</t>
  </si>
  <si>
    <t>Técnico Superior en Centrales Eléctricas (RD_258/2011)</t>
  </si>
  <si>
    <t>Técnico Superior en Comercio Internacional (RD_1574/2011)</t>
  </si>
  <si>
    <t>Técnico superior en Comercio Internacional (RD_1653/1994)</t>
  </si>
  <si>
    <t>Técnico superior en Construcciones Metálicas (RD_1656/1994)</t>
  </si>
  <si>
    <t>Técnico Superior en Construcciones Metálicas (RD_174/2008)</t>
  </si>
  <si>
    <t>Técnico Superior en Coordinación de Emergencias y Protección Civil (RD_906/2013)</t>
  </si>
  <si>
    <t>Técnico superior en Curtidos (RD_736/1994)</t>
  </si>
  <si>
    <t>Técnico superior en Desarrollo de Aplicaciones Informáticas (RD_1661/1994)</t>
  </si>
  <si>
    <t>Técnico Superior en Desarrollo de Aplicaciones Multiplataforma (RD_450/2010)</t>
  </si>
  <si>
    <t>Técnico Superior en Desarrollo de Aplicaciones Web (RD_686/2010)</t>
  </si>
  <si>
    <t>Técnico superior en Desarrollo de Productos Electrónicos (RD_620/1995)</t>
  </si>
  <si>
    <t>Técnico superior en Desarrollo de Productos en Carpintería y Mueble (RD_728/1994)</t>
  </si>
  <si>
    <t>Técnico Superior en Desarrollo de Proyectos de Instalaciones de Fluidos, Térmicas y de Manutención (RD_2042/1995)</t>
  </si>
  <si>
    <t>Técnico Superior en Desarrollo de Proyectos de Instalaciones Térmicas y de Fluidos (RD_219/2008)</t>
  </si>
  <si>
    <t>Técnico superior en Desarrollo de Proyectos Mecánicos (RD_2416/1994)</t>
  </si>
  <si>
    <t>Técnico superior en Desarrollo y Aplicación de Proyectos de Construcción (RD_2208/1993)</t>
  </si>
  <si>
    <t>Técnico Superior en Desarrollo y Fabricación de Productos Cerámicos (RD_1797/2008)</t>
  </si>
  <si>
    <t>Técnico Superior en Desarrollo y Fabricación de Productos Cerámicos (RD_2038/1995)</t>
  </si>
  <si>
    <t>Técnico superior en Dietética (RD_536/1995)</t>
  </si>
  <si>
    <t>Técnico Superior en Dirección de Cocina (RD_687/2010)</t>
  </si>
  <si>
    <t>Técnico Superior en Dirección de Servicios de Restauración (RD_688/2010)</t>
  </si>
  <si>
    <t>Técnico Superior en Diseño en Fabricación Mecánica (RD_1630/2009)</t>
  </si>
  <si>
    <t>Técnico Superior en Diseño Técnico en Textil y Piel (RD_1580/2011)</t>
  </si>
  <si>
    <t>Técnico Superior en Diseño y Amueblamiento (RD_1579/2011)</t>
  </si>
  <si>
    <t>Técnico Superior en Diseño y Edición de Publicaciones Impresas y Multimedia (RD_174/2013)</t>
  </si>
  <si>
    <t>Técnico Superior en Diseño y Gestión de la Producción Gráfica (RD_175/2013)</t>
  </si>
  <si>
    <t>Técnico Superior en Diseño y Producción de Calzado y Complementos (RD_689/2010)</t>
  </si>
  <si>
    <t>Técnico superior en Diseño y Producción Editorial (RD_2422/1994)</t>
  </si>
  <si>
    <t>Técnico superior en Documentación Sanitaria (RD_543/1995)</t>
  </si>
  <si>
    <t>Técnico Superior en Documentación y Administración Sanitarias (RD_768/2014)</t>
  </si>
  <si>
    <t>Técnico Superior en Educación infantil (RD_1394/2007)</t>
  </si>
  <si>
    <t>Técnico superior en Educación Infantil (RD_2059/1995)</t>
  </si>
  <si>
    <t>Técnico Superior en Educación y Control Ambiental (RD_384/2011)</t>
  </si>
  <si>
    <t>Técnico Superior en Eficiencia Energética y Energía Solar Térmica (RD_1177/2008)</t>
  </si>
  <si>
    <t>Técnico Superior en Electromedicina Clínica (RD_838/2015)</t>
  </si>
  <si>
    <t>Técnico Superior en Energías Renovables (RD_385/2011)</t>
  </si>
  <si>
    <t>Técnico Superior en Enseñanza y Animación Sociodeportiva (RD_653/2017)</t>
  </si>
  <si>
    <t>Técnico superior en Estética (RD_628/1995)</t>
  </si>
  <si>
    <t>Técnico Superior en Estética Integral y Bienestar (RD_881/2011)</t>
  </si>
  <si>
    <t>Técnico Superior en Estilismo y Dirección de Peluquería (RD_1577/2011)</t>
  </si>
  <si>
    <t>Técnico superior en fabricación de productos farmacéuticos y afines (RD_810/1993)</t>
  </si>
  <si>
    <t>Técnico Superior en Fabricación de productos farmacéuticos, biotecnológicos y afines (RD_832/2014)</t>
  </si>
  <si>
    <t>Técnico superior en Fabricación y Transformación de Productos de Vidrio (RD_2039/1995)</t>
  </si>
  <si>
    <t>Técnico Superior en Formación para la movilidad segura y sostenible (RD_174/2021)</t>
  </si>
  <si>
    <t>Técnico Superior en Ganadería y Asistencia en Sanidad Animal (RD_1585/2012)</t>
  </si>
  <si>
    <t>Técnico superior en Gestión Comercial y Marketing (RD_1651/1994)</t>
  </si>
  <si>
    <t>Técnico Superior en Gestión de Alojamientos Turísticos (RD_1686/2007)</t>
  </si>
  <si>
    <t>Técnico Superior en Gestión de Ventas y Espacios Comerciales (RD_1573/2011)</t>
  </si>
  <si>
    <t>Técnico Superior en Gestión del Agua (RD_113/2017)</t>
  </si>
  <si>
    <t>Técnico superior en Gestión del Transporte (RD_1654/1994)</t>
  </si>
  <si>
    <t>Técnico Superior en Gestión Forestal y del Medio Natural (RD_260/2011)</t>
  </si>
  <si>
    <t>Técnico superior en Gestión y Organización de Empresas Agropecuarias (RD_1711/1996)</t>
  </si>
  <si>
    <t>Técnico superior en Gestión y Organización de los Recursos Naturales y Paisajísticos (RD_1712/1996)</t>
  </si>
  <si>
    <t>Técnico Superior en Guía, Información y Asistencias Turísticas (RD_1255/2009)</t>
  </si>
  <si>
    <t>Técnico superior en Higiene Bucodental (RD_537/1995)</t>
  </si>
  <si>
    <t>Técnico Superior en Higiene Bucodental (RD_769/2014)</t>
  </si>
  <si>
    <t>Técnico Superior en Iluminación, Captación y Tratamiento de Imagen (RD_1686/2011)</t>
  </si>
  <si>
    <t>Técnico superior en Imagen (RD_2033/1995)</t>
  </si>
  <si>
    <t>Técnico superior en imagen para el Diagnóstico (RD_545/1995)</t>
  </si>
  <si>
    <t>Técnico Superior en Imagen para el Diagnóstico y Medicina Nuclear (RD_770/2014)</t>
  </si>
  <si>
    <t>Técnico superior en Industria Alimentaria (RD_2050/1995)</t>
  </si>
  <si>
    <t>Técnico superior en industrias de proceso de pasta y papel (RD_809/1993)</t>
  </si>
  <si>
    <t>Técnico superior en industrias de proceso químico (RD_808/1993)</t>
  </si>
  <si>
    <t>Técnico superior en Información y Comercialización Turísticas (RD_2217/1993)</t>
  </si>
  <si>
    <t>Técnico superior en instalaciones Electrotécnicas (RD_621/1995)</t>
  </si>
  <si>
    <t>Técnico Superior en Integración Social (RD_1074/2012)</t>
  </si>
  <si>
    <t>Técnico Superior en Integración Social (RD_2061/1995)</t>
  </si>
  <si>
    <t>Técnico superior en Interpretación de la Lengua de Signos (RD_2060/1995)</t>
  </si>
  <si>
    <t>Técnico Superior en Laboratorio Clínico y Biomédico (RD_771/2014)</t>
  </si>
  <si>
    <t>Técnico Superior en Laboratorio de Análisis y de Control de Calidad (RD_1395/2007)</t>
  </si>
  <si>
    <t>Técnico superior en Laboratorio de Diagnóstico Clínico (RD_539/1995)</t>
  </si>
  <si>
    <t>Técnico superior en Levantamientos y Desarrollos Urbanísticos (RD_2209/1993)</t>
  </si>
  <si>
    <t>Técnico superior en Mantenimiento Aeromecánico (RD_625/1995)</t>
  </si>
  <si>
    <t>Técnico Superior en Mantenimiento aeromecánico de aviones con motor de pistón (RD_1444/2018)</t>
  </si>
  <si>
    <t>Técnico Superior en Mantenimiento aeromecánico de aviones con motor de turbina (RD_1445/2018)</t>
  </si>
  <si>
    <t>Técnico Superior en Mantenimiento aeromecánico de helicópteros con motor de pistón (RD_1446/2018)</t>
  </si>
  <si>
    <t>Técnico Superior en Mantenimiento aeromecánico de helicópteros con motor de turbina (RD_1447/2018)</t>
  </si>
  <si>
    <t>Técnico superior en Mantenimiento de Aviónica (RD_626/1995)</t>
  </si>
  <si>
    <t>Técnico superior en Mantenimiento de Equipo Industrial (RD_2043/1995)</t>
  </si>
  <si>
    <t>Técnico Superior en Mantenimiento de Instalaciones Térmicas y de Fluidos (RD_220/2008)</t>
  </si>
  <si>
    <t>Técnico Superior en Mantenimiento de sistemas electrónicos y aviónicos en aeronaves (RD_1448/2018)</t>
  </si>
  <si>
    <t>Técnico Superior en Mantenimiento Electrónico (RD_1578/2011)</t>
  </si>
  <si>
    <t>Técnico Superior en Mantenimiento y Montaje de Instalaciones de Edificio y Proceso (RD_2044/1995)</t>
  </si>
  <si>
    <t>Técnico Superior en Marketing y Publicidad (RD_1571/2011)</t>
  </si>
  <si>
    <t>Técnico Superior en Mecatrónica Industrial (RD_1576/2011)</t>
  </si>
  <si>
    <t>Técnico Superior en Mediación Comunicativa (RD_831/2014)</t>
  </si>
  <si>
    <t>Técnico superior en Navegación, Pesca y Transporte Marítimo (RD_721/1994)</t>
  </si>
  <si>
    <t>Técnico superior en Óptica de Anteojería (RD_370/2001)</t>
  </si>
  <si>
    <t>Técnico Superior en Organización del Mantenimiento de Maquinaria de Buques y Embarcaciones (RD_1075/2012)</t>
  </si>
  <si>
    <t>Técnico Superior en Organización y Control de Obras de Construcción (RD_636/2015)</t>
  </si>
  <si>
    <t>Técnico superior en Ortoprotésica (RD_542/1995)</t>
  </si>
  <si>
    <t>Técnico Superior en Ortoprótesis y Productos de Apoyo (RD_905/2013)</t>
  </si>
  <si>
    <t>Técnico Superior en Paisajismo y Medio Rural (RD_259/2011)</t>
  </si>
  <si>
    <t>Técnico Superior en Patronaje (RD_738/1994)</t>
  </si>
  <si>
    <t>Técnico Superior en Patronaje y Moda (RD_954/2008)</t>
  </si>
  <si>
    <t>Técnico superior en plásticos y caucho (RD_813/1993)</t>
  </si>
  <si>
    <t>Técnico superior en Prevención de Riesgos Profesionales (RD_1161/2001)</t>
  </si>
  <si>
    <t>Técnico superior en Procesos de Confección Industrial (RD_737/1994)</t>
  </si>
  <si>
    <t>Técnico superior en Procesos de Ennoblecimiento Textil (RD_735/1994)</t>
  </si>
  <si>
    <t>Técnico superior en Procesos Textiles de Hilatura y Tejeduría de Calada (RD_733/1994)</t>
  </si>
  <si>
    <t>Técnico superior en Procesos Textiles de Tejeduría de Punto (RD_734/1994)</t>
  </si>
  <si>
    <t>Técnico Superior en Procesos y Calidad en la Industria Alimentaria (RD_451/2010)</t>
  </si>
  <si>
    <t>Técnico Superior en Producción Acuícola (RD_723/1994)</t>
  </si>
  <si>
    <t>Técnico Superior en Producción de audiovisuales y espectáculos (RD_1681/2011)</t>
  </si>
  <si>
    <t>Técnico Superior en Producción de Audiovisuales, Radio y Espectáculos (RD_2034/1995)</t>
  </si>
  <si>
    <t>Técnico superior en Producción de Madera y Mueble (RD_729/1994)</t>
  </si>
  <si>
    <t>Técnico superior en producción en industrias de Artes Gráficas (RD_2423/1994)</t>
  </si>
  <si>
    <t>Técnico superior en producción por fundición y Pulvimetalurgia (RD_2418/1994)</t>
  </si>
  <si>
    <t>Técnico Superior en Producción por Mecanizado (RD_2417/1994)</t>
  </si>
  <si>
    <t>Técnico Superior en Programación de la Producción en Fabricación Mecánica (RD_1687/2007)</t>
  </si>
  <si>
    <t>Técnico Superior en Programación de la Producción en Moldeo de Metales y Polímeros (RD_882/2011)</t>
  </si>
  <si>
    <t>Técnico Superior en Promoción de Igualdad de Género (RD_779/2013)</t>
  </si>
  <si>
    <t>Técnico Superior en Prótesis Dentales (RD_1687/2011)</t>
  </si>
  <si>
    <t>Técnico superior en Prótesis Dentales (RD_541/1995)</t>
  </si>
  <si>
    <t>Técnico Superior en Proyectos de Edificación (RD_690/2010)</t>
  </si>
  <si>
    <t>Técnico Superior en Proyectos de Obra Civil (RD_386/2011)</t>
  </si>
  <si>
    <t>Técnico superior en Química Ambiental (RD_812/1993)</t>
  </si>
  <si>
    <t>Técnico Superior en Química Industrial (RD_175/2008)</t>
  </si>
  <si>
    <t>Técnico Superior en Química y Salud Ambiental (RD_283/2019)</t>
  </si>
  <si>
    <t>Técnico superior en Radioterapia (RD_544/1995)</t>
  </si>
  <si>
    <t>Técnico Superior en Radioterapia y Dosimetría (RD_772/2014)</t>
  </si>
  <si>
    <t>Técnico superior en Realización de Audiovisuales y Espectáculos (RD_2035/1995)</t>
  </si>
  <si>
    <t>Técnico Superior en Realización de proyectos audiovisuales y espectáculos (RD_1680/2011)</t>
  </si>
  <si>
    <t>Técnico superior en Realización y Planes de Obras (RD_2210/1993)</t>
  </si>
  <si>
    <t>Técnico superior en Restauración (RD_2218/1993)</t>
  </si>
  <si>
    <t>Técnico superior en Salud Ambiental (RD_540/1995)</t>
  </si>
  <si>
    <t>Técnico superior en Secretariado (RD_1658/1994)</t>
  </si>
  <si>
    <t>Técnico superior en Servicios al Consumidor (RD_1652/1994)</t>
  </si>
  <si>
    <t>Técnico superior en Sistemas de Regulación y Control Automáticos (RD_619/1995)</t>
  </si>
  <si>
    <t>Técnico superior en Sistemas de Telecomunicación e Informáticos (RD_622/1995)</t>
  </si>
  <si>
    <t>Técnico Superior en Sistemas de Telecomunicaciones e Informáticos (RD_883/2011)</t>
  </si>
  <si>
    <t>Técnico Superior en Sistemas Electrotécnicos y Automatizados (RD_1127/2010)</t>
  </si>
  <si>
    <t>Técnico Superior en Sonido (RD_2036/1995)</t>
  </si>
  <si>
    <t>Técnico Superior en Sonido para audiovisuales y espectáculos (RD_1682/2011)</t>
  </si>
  <si>
    <t>Técnico Superior en Supervisión y Control de Máquinas e Instalaciones del Buque (RD_722/1994)</t>
  </si>
  <si>
    <t>Técnico Superior en Termalismo y bienestar (RD_699/2019)</t>
  </si>
  <si>
    <t>Técnico Superior en Transporte Marítimo y Pesca de Altura (RD_1691/2011)</t>
  </si>
  <si>
    <t>Técnico Superior en Transporte y Logística (RD_1572/2011)</t>
  </si>
  <si>
    <t>Técnico Superior en Vestuario a medida y de espectáculos (RD_1679/2011)</t>
  </si>
  <si>
    <t>Técnico Superior en Vitivinicultura (RD_1688/2007)</t>
  </si>
  <si>
    <t>ANEXO 2</t>
  </si>
  <si>
    <t>ESTIMAR la solicitud de convalidación de los siguientes módulos profesionales del ciclo formativo correspondiente:</t>
  </si>
  <si>
    <t>Q12345678Z</t>
  </si>
  <si>
    <t xml:space="preserve">RESUELVE: </t>
  </si>
  <si>
    <t>DENOMINACIÓN DEL MÓDULO PROFESIONAL</t>
  </si>
  <si>
    <t>Cuando la formación aportada para solicitar la convalidación corresponda con uno o varios módulos profesionales de formación profesional del Sistema educativo, la convalidación, en caso de hacerse efectiva, se consignará, a efectos de cálculo de la nota media del ciclo formativo, en los documentos de evaluación correspondientes con la calificación obtenida por el solicitante en el módulo profesional cursado que aportó en su solicitud. Para su registro se utilizará la expresión «CV-» seguida de dicha calificación.</t>
  </si>
  <si>
    <t>Cuando la formación aportada para solicitar la convalidación corresponda a: certificados de nivel de idiomas de la Escuela Oficial de Idiomas, título de Grado en Filología o en Traducción e Interpretación o equivalentes, certificados de profesionalidad o certificado oficial de la administración competente si las unidades de competencia han sido adquiridas mediante un procedimiento de evaluación y acreditación de las competencias profesionales establecidas en el Real decreto 1224/2009, de 17 de julio, la estimación de la solicitud de convalidación quedará consignada en los documentos de evaluación con la expresión «CV» sin que se acompañe de ninguna calificación.</t>
  </si>
  <si>
    <t>FECHA</t>
  </si>
  <si>
    <t xml:space="preserve">En Alcalá de Henares, a </t>
  </si>
  <si>
    <t>Este</t>
  </si>
  <si>
    <t>DESESTIMAR la solicitud de convalidación de los siguientes módulos profesionales del ciclo formativo correspondiente, por no estar incluidos en los supuestos contemplados en el anexo:</t>
  </si>
  <si>
    <t>I, II o III del Real Decreto 1085/2020, de 9 de diciembre, por el que se establecen convalidaciones de módulos profesionales de los títulos de Formación Profesional del sistema educativo español y las medidas para su aplicación, y se modifica el Real Decreto 1147/2011, de 29 de julio, por el que se establece la ordenación general de la formación profesional del sistema educativo.</t>
  </si>
  <si>
    <t>CURSO ACADÉMICO</t>
  </si>
  <si>
    <t>2024-2025</t>
  </si>
  <si>
    <t>REAL DECRETO</t>
  </si>
  <si>
    <t>ACUSE DE RECIBO</t>
  </si>
  <si>
    <t>RESOLUCIÓN DE SOLICITUD DE CONVALIDACIÓN DE MÓDULOS PROFESIONALES INCLUIDOS EN EL REAL DECRETO DE TÍTULO</t>
  </si>
  <si>
    <t>DAT MADRID -</t>
  </si>
  <si>
    <t>FAMILIA</t>
  </si>
  <si>
    <t>Técnico en Gestión Administrativa (RD_1631/2009): Ciclo completo (0000)</t>
  </si>
  <si>
    <t>Técnico Superior en Administración y Finanzas (RD_1584/2011): Ciclo completo (0000)</t>
  </si>
  <si>
    <t>Técnico en Emergencias Sanitarias (RD_1397/2007): Ciclo completo (0000)</t>
  </si>
  <si>
    <t>RD_M_1073/2012_0764</t>
  </si>
  <si>
    <t>Técnico en Navegación y Pesca de Litoral (RD_1144/2012): Ciclo completo (0000)</t>
  </si>
  <si>
    <t>Técnico Superior en Transporte Marítimo y Pesca de Altura (RD_1691/2011): Ciclo completo (0000)</t>
  </si>
  <si>
    <t>RD_M_1073/2012_0765</t>
  </si>
  <si>
    <t>RD_M_1127/2010_0517</t>
  </si>
  <si>
    <t>Técnico Superior en Sistemas de Telecomunicaciones e Informáticos (RD_883/2011): Configuración de infraestructuras de sistemas de telecomunicaciones (0525) + Técnicas y procesos en infraestructuras de telecomunicaciones (0553)</t>
  </si>
  <si>
    <t>RD_M_1127/2010_0519</t>
  </si>
  <si>
    <t>Técnico Superior en Automatización y Robótica Industrial (RD_1581/2011): Documentación técnica (0963)</t>
  </si>
  <si>
    <t>Técnico Superior en Mantenimiento Electrónico (RD_1578/2011): Ciclo completo (0000)</t>
  </si>
  <si>
    <t>RD_M_1128/2010_0538</t>
  </si>
  <si>
    <t>Técnico Superior en Diseño y Amueblamiento (RD_1579/2011): Ciclo completo (0000)</t>
  </si>
  <si>
    <t>RD_M_1128/2010_0539</t>
  </si>
  <si>
    <t>RD_M_1128/2010_0542</t>
  </si>
  <si>
    <t>Técnico en Actividades Comerciales (RD_1688/2011): Técnicas de almacén (1228)</t>
  </si>
  <si>
    <t>Técnico en Aceites de Oliva y Vinos (RD_1798/2008): Operaciones y control de almacén en la industria alimentaria (0030)</t>
  </si>
  <si>
    <t>Técnico en Conducción de Vehículos de Transporte por Carretera (RD_555/2012): Operaciones de almacenaje (1209)</t>
  </si>
  <si>
    <t>Técnico en Elaboración de productos alimenticios (RD_452/2010): Operaciones y control de almacén en la industria alimentaria (0030)</t>
  </si>
  <si>
    <t>Técnico en Panadería, Repostería y Confitería (RD_1399/2007): Operaciones y control de almacén en la industria alimentaria (0030)</t>
  </si>
  <si>
    <t>RD_M_1128/2010_0543</t>
  </si>
  <si>
    <t>RD_M_1128/2010_0545</t>
  </si>
  <si>
    <t>Técnico Superior en Programación de la Producción en Fabricación Mecánica (RD_1687/2007): Mecanizado por control numérico (0002)</t>
  </si>
  <si>
    <t>Técnico en Mecanizado (RD_1398/2007): Mecanizado por control numérico (0002)</t>
  </si>
  <si>
    <t>Técnico en Piedra Natural (RD_1587/2011): Tecnologías de mecanizado en piedra natural (0895)</t>
  </si>
  <si>
    <t>RD_M_1129/2010_0407</t>
  </si>
  <si>
    <t>Técnico en Electromecánica de Maquinaria (RD_255/2011): Ciclo completo (0000)</t>
  </si>
  <si>
    <t>RD_M_1129/2010_0581</t>
  </si>
  <si>
    <t>Técnico en Actividades Comerciales (RD_1688/2011): Ciclo completo (0000)</t>
  </si>
  <si>
    <t>RD_M_113/2017_1572</t>
  </si>
  <si>
    <t>Técnico Superior en Organización y Control de Obras de Construcción (RD_636/2015): Replanteos de construcción (0565) + Planificación de construcción (0566)</t>
  </si>
  <si>
    <t>Técnico Superior en Proyectos de Edificación (RD_690/2010): Replanteos de construcción (0565) + Planificación de construcción (0566)</t>
  </si>
  <si>
    <t>Técnico Superior en Proyectos de Obra Civil (RD_386/2011): Replanteos de construcción (0565) + Planificación de construcción (0566)</t>
  </si>
  <si>
    <t>RD_M_113/2017_1576</t>
  </si>
  <si>
    <t>Técnico Superior en Automatización y Robótica Industrial (RD_1581/2011): Ciclo completo (0000)</t>
  </si>
  <si>
    <t>Técnico en Instalaciones Eléctricas y Automáticas (RD_177/2008): Ciclo completo (0000)</t>
  </si>
  <si>
    <t>Técnico Superior en Organización del Mantenimiento de Maquinaria de Buques y Embarcaciones (RD_1075/2012): Organización del mantenimiento y montaje de instalaciones y sistemas eléctricos de buques y embarcaciones (1311)</t>
  </si>
  <si>
    <t>Técnico Superior en Sistemas Electrotécnicos y Automatizados (RD_1127/2010): Ciclo completo (0000)</t>
  </si>
  <si>
    <t>Técnico Superior en Mecatrónica Industrial (RD_1576/2011): Ciclo completo (0000)</t>
  </si>
  <si>
    <t>RD_M_113/2017_1577</t>
  </si>
  <si>
    <t>RD_M_113/2017_1580</t>
  </si>
  <si>
    <t>Técnico Superior en Eficiencia Energética y Energía Solar Térmica (RD_1177/2008): Procesos de montaje de instalaciones (0122)</t>
  </si>
  <si>
    <t>Técnico Superior en Desarrollo de Proyectos de Instalaciones Térmicas y de Fluidos (RD_219/2008): Procesos de montaje de instalaciones (0122)</t>
  </si>
  <si>
    <t>Técnico Superior en Mantenimiento de Instalaciones Térmicas y de Fluidos (RD_220/2008): Procesos de montaje de instalaciones (0122)</t>
  </si>
  <si>
    <t>Técnico Superior en Organización del Mantenimiento de Maquinaria de Buques y Embarcaciones (RD_1075/2012): Organización del mantenimiento en seco de buques y embarcaciones y montaje de motores térmicos (1309)</t>
  </si>
  <si>
    <t>RD_M_114/2017_0310</t>
  </si>
  <si>
    <t>Técnico en Mantenimiento y Control de la Maquinaria de Buques y Embarcaciones (RD_1072/2012): Ciclo completo (0000)</t>
  </si>
  <si>
    <t>RD_M_114/2017_1559</t>
  </si>
  <si>
    <t>Técnico Superior en Proyectos de Edificación (RD_690/2010): Instalaciones en edificación (0568)</t>
  </si>
  <si>
    <t>RD_M_114/2017_1561</t>
  </si>
  <si>
    <t>Técnico en Instalaciones Eléctricas y Automáticas (RD_177/2008): Automatismos industriales (0232)</t>
  </si>
  <si>
    <t>Técnico en Instalaciones de Producción de Calor (RD_1792/2010): Instalaciones eléctricas y automatismos (0038)</t>
  </si>
  <si>
    <t>Técnico en Instalaciones Frigoríficas y de Climatización (RD_1793/2010): Instalaciones eléctricas y automatismos (0038)</t>
  </si>
  <si>
    <t>RD_M_114/2017_1562</t>
  </si>
  <si>
    <t>Técnico Superior en Gestión del Agua (RD_113/2017): Técnicas de montaje en instalaciones de agua (1580)</t>
  </si>
  <si>
    <t>Técnico en Instalaciones de Producción de Calor (RD_1792/2010): Técnicas de montaje de instalaciones (0037)</t>
  </si>
  <si>
    <t>Técnico en Instalaciones Frigoríficas y de Climatización (RD_1793/2010): Técnicas de montaje de instalaciones (0037)</t>
  </si>
  <si>
    <t>RD_M_114/2017_1564</t>
  </si>
  <si>
    <t>Técnico Superior en Gestión del Agua (RD_113/2017): Calidad y tratamiento de aguas (1573)</t>
  </si>
  <si>
    <t>Técnico en Planta Química (RD_178/2008): Tratamiento de aguas (0115)</t>
  </si>
  <si>
    <t>RD_M_114/2017_1566</t>
  </si>
  <si>
    <t>Técnico Superior en Mantenimiento de Instalaciones Térmicas y de Fluidos (RD_220/2008): Gestión del montaje, de la calidad y del mantenimiento (0133) + Procesos de Montaje de Instalaciones (0122)</t>
  </si>
  <si>
    <t>RD_M_1144/2012_1034</t>
  </si>
  <si>
    <t>Técnico Superior en Organización del Mantenimiento de Maquinaria de Buques y Embarcaciones (RD_1075/2012): Ciclo completo (0000)</t>
  </si>
  <si>
    <t>RD_M_1145/2012_0260</t>
  </si>
  <si>
    <t>Técnico en Redes y Estaciones de Tratamiento de Aguas (RD_114/2017): Técnicas de mecanizado y unión (1562)</t>
  </si>
  <si>
    <t>Técnico en Redes y Estaciones de Tratamiento de Aguas (RD_114/2017): Técnicas de montaje en instalaciones de agua (1580)</t>
  </si>
  <si>
    <t>Técnico en Mantenimiento y Control de la Maquinaria de Buques y Embarcaciones (RD_1072/2012): Procedimientos de mecanizado y soldadura en buques y embarcaciones (1173)</t>
  </si>
  <si>
    <t>RD_M_1145/2012_0452</t>
  </si>
  <si>
    <t>Técnico Superior en Organización del Mantenimiento de Maquinaria de Buques y Embarcaciones (RD_1075/2012): Organización del mantenimiento de planta propulsora y maquinaria auxiliar de buques (1308)</t>
  </si>
  <si>
    <t>Técnico en Mantenimiento y Control de la Maquinaria de Buques y Embarcaciones (RD_1072/2012): Mantenimiento de la planta propulsora y maquinaria auxiliar (1172)</t>
  </si>
  <si>
    <t>RD_M_1145/2012_0742</t>
  </si>
  <si>
    <t>Técnico en Electromecánica de Vehículos Automóviles (RD_453/2010): Sistemas auxiliares del motor (0453)</t>
  </si>
  <si>
    <t>RD_M_1145/2012_0975</t>
  </si>
  <si>
    <t>Técnico en Electromecánica de Vehículos Automóviles (RD_453/2010): Circuitos eléctricos auxiliares del vehículo (0457)</t>
  </si>
  <si>
    <t>RD_M_1177/2008_0123</t>
  </si>
  <si>
    <t>Técnico Superior en Proyectos de Edificación (RD_690/2010): Instalaciones en edificación (0568) + Representaciones de construcción (0563)</t>
  </si>
  <si>
    <t>RD_M_1177/2008_0350</t>
  </si>
  <si>
    <t>Técnico Superior en Proyectos de Edificación (RD_690/2010): Eficiencia energética en edificación (0569)</t>
  </si>
  <si>
    <t>RD_M_1254/2009_0172</t>
  </si>
  <si>
    <t>Técnico Superior en Asistencia a la Dirección (RD_1582/2011): Protocolo empresarial (0661)</t>
  </si>
  <si>
    <t>RD_M_1254/2009_0173</t>
  </si>
  <si>
    <t>Técnico Superior en Gestión de Ventas y Espacios Comerciales (RD_1573/2011): Políticas de marketing (0930)</t>
  </si>
  <si>
    <t>Técnico Superior en Marketing y Publicidad (RD_1571/2011): Políticas de marketing (0930)</t>
  </si>
  <si>
    <t>RD_M_1255/2009_0172</t>
  </si>
  <si>
    <t>RD_M_1255/2009_0173</t>
  </si>
  <si>
    <t>RD_M_1397/2007_0052</t>
  </si>
  <si>
    <t>Técnico en Electromecánica de Vehículos Automóviles (RD_453/2010): Ciclo completo (0000)</t>
  </si>
  <si>
    <t>Técnico en Mantenimiento de Material Rodante Ferroviario (RD_1145/2012): Ciclo completo (0000)</t>
  </si>
  <si>
    <t>Técnico Superior en Automoción (RD_1796/2008): Ciclo completo (0000)</t>
  </si>
  <si>
    <t>RD_M_1398/2007_0005</t>
  </si>
  <si>
    <t>Técnico en Conformado por Moldeo de Metales y Polímeros (RD_387/2011): Desarrollo de proyectos urbanísticos (0772)</t>
  </si>
  <si>
    <t>Técnico Superior en Construcciones Metálicas (RD_174/2008): Programación de sistemas automáticos de fabricación mecánica (0162)</t>
  </si>
  <si>
    <t>Técnico Superior en Programación de la Producción en Fabricación Mecánica (RD_1687/2007): Programación de sistemas automáticos de fabricación mecánica (0162)</t>
  </si>
  <si>
    <t>Técnico Superior en Programación de la Producción en Moldeo de Metales y Polímeros (RD_882/2011): Programación de sistemas automáticos de fabricación mecánica (0162)</t>
  </si>
  <si>
    <t>RD_M_1398/2007_0007</t>
  </si>
  <si>
    <t>Técnico Superior en Construcciones Metálicas (RD_174/2008): Representación gráfica en fabricación mecánica (0245)</t>
  </si>
  <si>
    <t>Técnico Superior en Diseño en Fabricación Mecánica (RD_1630/2009): Representación gráfica en fabricación mecánica (0245)</t>
  </si>
  <si>
    <t>RD_M_1399/2007_0030</t>
  </si>
  <si>
    <t>Técnico en Carpintería y Mueble (RD_1128/2010): Control de almacén (0542)</t>
  </si>
  <si>
    <t>Técnico en Instalación y Amueblamiento (RD_880/2011): Control de almacén (0542)</t>
  </si>
  <si>
    <t>RD_M_1399/2007_0032</t>
  </si>
  <si>
    <t>Técnico en Aceites de Oliva y Vinos (RD_1798/2008): Venta y comercialización de productos alimentarios (0146)</t>
  </si>
  <si>
    <t>Técnico en Elaboración de productos alimenticios (RD_452/2010): Venta y comercialización de productos alimentarios (0146)</t>
  </si>
  <si>
    <t>RD_M_1571/2011_0623</t>
  </si>
  <si>
    <t>Técnico Superior en Asistencia a la Dirección (RD_1582/2011): Ciclo completo (0000)</t>
  </si>
  <si>
    <t>RD_M_1571/2011_1008</t>
  </si>
  <si>
    <t>Técnico Superior en Producción de audiovisuales y espectáculos (RD_1681/2011): Ciclo completo (0000)</t>
  </si>
  <si>
    <t>RD_M_1571/2011_1109</t>
  </si>
  <si>
    <t>RD_M_1571/2011_1110</t>
  </si>
  <si>
    <t>RD_M_1572/2011_0623</t>
  </si>
  <si>
    <t>RD_M_1572/2011_0626</t>
  </si>
  <si>
    <t>RD_M_1573/2011_0623</t>
  </si>
  <si>
    <t>RD_M_1573/2011_0626</t>
  </si>
  <si>
    <t>RD_M_1574/2011_0623</t>
  </si>
  <si>
    <t>RD_M_1575/2011_0996</t>
  </si>
  <si>
    <t>Técnico Superior en Proyectos de Edificación (RD_690/2010): Ciclo completo (0000)</t>
  </si>
  <si>
    <t>Técnico Superior en Proyectos de Obra Civil (RD_386/2011): Ciclo completo (0000)</t>
  </si>
  <si>
    <t>RD_M_1576/2011_0935</t>
  </si>
  <si>
    <t>Técnico Superior en Automoción (RD_1796/2008): Sistemas de transmisión de fuerzas y trenes de rodaje (0292) + Motores térmicos y sus sistemas auxiliares (0293) + Elementos amovibles y fijos no estructurales (0294)</t>
  </si>
  <si>
    <t>RD_M_1576/2011_0937</t>
  </si>
  <si>
    <t>RD_M_1581/2011_0963</t>
  </si>
  <si>
    <t>Técnico Superior en Sistemas Electrotécnicos y Automatizados (RD_1127/2010): Documentación técnica en instalaciones eléctricas (0519)</t>
  </si>
  <si>
    <t>RD_M_1581/2011_0964</t>
  </si>
  <si>
    <t>Técnico Superior en Desarrollo de Aplicaciones Multiplataforma (RD_450/2010): Ciclo completo (0000)</t>
  </si>
  <si>
    <t>RD_M_1582/2011_0661</t>
  </si>
  <si>
    <t>Técnico Superior en Agencias de Viajes y Gestión de Eventos (RD_1254/2009): Protocolo y relaciones públicas (0172)</t>
  </si>
  <si>
    <t>Técnico Superior en Gestión de Alojamientos Turísticos (RD_1686/2007): Protocolo y relaciones públicas (0172)</t>
  </si>
  <si>
    <t>Técnico Superior en Guía, Información y Asistencias Turísticas (RD_1255/2009): Protocolo y relaciones públicas (0172)</t>
  </si>
  <si>
    <t>RD_M_1584/2011_0655</t>
  </si>
  <si>
    <t>Técnico Superior en Gestión de Ventas y Espacios Comerciales (RD_1573/2011): Logística de aprovisionamiento (0626)</t>
  </si>
  <si>
    <t>Técnico Superior en Transporte y Logística (RD_1572/2011): Logística de aprovisionamiento (0626)</t>
  </si>
  <si>
    <t>RD_M_1585/2011_1019</t>
  </si>
  <si>
    <t>RD_M_1585/2011_1021</t>
  </si>
  <si>
    <t>Técnico Superior en Diseño y Producción de Calzado y Complementos (RD_689/2010): Gestión de la calidad, prevención de riesgos laborales y protección ambiental (0165)</t>
  </si>
  <si>
    <t>Técnico Superior en Patronaje y Moda (RD_954/2008): Gestión de la calidad, prevención de riesgos laborales y protección ambiental (0165)</t>
  </si>
  <si>
    <t>RD_M_1586/2011_0867</t>
  </si>
  <si>
    <t>Técnico Superior en Iluminación, Captación y Tratamiento de Imagen (RD_1686/2011): Ciclo completo (0000)</t>
  </si>
  <si>
    <t>RD_M_1586/2011_0873</t>
  </si>
  <si>
    <t>RD_M_1588/2011_0643</t>
  </si>
  <si>
    <t>Técnico Superior en Gestión de Ventas y Espacios Comerciales (RD_1573/2011): Ciclo completo (0000)</t>
  </si>
  <si>
    <t>Técnico Superior en Marketing y Publicidad (RD_1571/2011): Ciclo completo (0000)</t>
  </si>
  <si>
    <t>RD_M_1589/2011_0949</t>
  </si>
  <si>
    <t>Técnico en Mecanizado (RD_1398/2007): Fabricación por arranque de viruta (0004) + Interpretación gráfica (0007)</t>
  </si>
  <si>
    <t>Técnico en Soldadura y Calderería (RD_1692/2007): Ciclo completo (0000)</t>
  </si>
  <si>
    <t>RD_M_1589/2011_0950</t>
  </si>
  <si>
    <t>RD_M_1589/2011_0951</t>
  </si>
  <si>
    <t>RD_M_1589/2011_0954</t>
  </si>
  <si>
    <t>RD_M_1591/2011_0116</t>
  </si>
  <si>
    <t>RD_M_1593/2011_0211</t>
  </si>
  <si>
    <t>Técnico Superior en Animación Sociocultural y Turística (RD_1684/2011): Dinamización grupal (1124)</t>
  </si>
  <si>
    <t>Técnico Superior en Mediación Comunicativa (RD_831/2014): Habilidades sociales (0017)</t>
  </si>
  <si>
    <t>Técnico Superior en Educación infantil (RD_1394/2007): Habilidades sociales (0017)</t>
  </si>
  <si>
    <t>Técnico Superior en Integración Social (RD_1074/2012): Habilidades sociales (0017)</t>
  </si>
  <si>
    <t>Técnico Superior en Promoción de Igualdad de Género (RD_779/2013): Habilidades sociales (0017)</t>
  </si>
  <si>
    <t>Técnico Superior en Educación y Control Ambiental (RD_384/2011): Habilidades sociales (0017)</t>
  </si>
  <si>
    <t>RD_M_1593/2011_0214</t>
  </si>
  <si>
    <t>Técnico Superior en Integración Social (RD_1074/2012): Sistemas aumentativos y alternativos de comunicación (0343)</t>
  </si>
  <si>
    <t>Técnico Superior en Mediación Comunicativa (RD_831/2014): Sistemas aumentativos y alternativos de comunicación (0343)</t>
  </si>
  <si>
    <t>RD_M_1629/2009_0371</t>
  </si>
  <si>
    <t>RD_M_1632/2009_0359</t>
  </si>
  <si>
    <t>Técnico en Instalaciones Eléctricas y Automáticas (RD_177/2008): Electrónica (0233) + Electrotecnia (0234)</t>
  </si>
  <si>
    <t>RD_M_1632/2009_0360</t>
  </si>
  <si>
    <t>Técnico en Sistemas Microinformáticos y Redes (RD_1691/2007): Ciclo completo (0000)</t>
  </si>
  <si>
    <t>RD_M_1632/2009_0361</t>
  </si>
  <si>
    <t>RD_M_1632/2009_0362</t>
  </si>
  <si>
    <t>Técnico en Instalaciones Eléctricas y Automáticas (RD_177/2008): Automatismos industriales (0232) + Instalaciones eléctricas interiores (0235) + Máquinas eléctricas (0240)</t>
  </si>
  <si>
    <t>RD_M_1633/2009_0407</t>
  </si>
  <si>
    <t>RD_M_1633/2009_0413</t>
  </si>
  <si>
    <t>RD_M_1681/2011_0910</t>
  </si>
  <si>
    <t>Técnico Superior en Realización de proyectos audiovisuales y espectáculos (RD_1680/2011): Ciclo completo (0000)</t>
  </si>
  <si>
    <t>RD_M_1681/2011_0920</t>
  </si>
  <si>
    <t>RD_M_1684/2011_1124</t>
  </si>
  <si>
    <t>RD_M_1686/2007_0172</t>
  </si>
  <si>
    <t>RD_M_1686/2007_0173</t>
  </si>
  <si>
    <t>RD_M_1686/2011_1158</t>
  </si>
  <si>
    <t>RD_M_1687/2007_0007</t>
  </si>
  <si>
    <t>RD_M_1687/2007_0162</t>
  </si>
  <si>
    <t>Técnico Superior en Organización del Mantenimiento de Maquinaria de Buques y Embarcaciones (RD_1075/2012): Programación y mantenimiento de automatismos hidráulicos y neumáticos en buques y embarcaciones (1310)</t>
  </si>
  <si>
    <t>RD_M_1687/2007_0163</t>
  </si>
  <si>
    <t>Técnico Superior en Patronaje y Moda (RD_954/2008): Organización de la producción en confección industrial (0280)</t>
  </si>
  <si>
    <t>RD_M_1688/2007_0081</t>
  </si>
  <si>
    <t>Técnico Superior en Laboratorio de Análisis y de Control de Calidad (RD_1395/2007): Ciclo completo (0000)</t>
  </si>
  <si>
    <t>RD_M_1688/2007_0084</t>
  </si>
  <si>
    <t>Técnico Superior en Transporte y Logística (RD_1572/2011): Ciclo completo (0000)</t>
  </si>
  <si>
    <t>RD_M_1688/2007_0086</t>
  </si>
  <si>
    <t>Técnico Superior en Acuicultura (RD_1585/2011): Gestión medioambiental de los procesos acuícolas (1021)</t>
  </si>
  <si>
    <t>Técnico Superior en Construcciones Metálicas (RD_174/2008): Gestión de la calidad, prevención de riesgos laborales y protección ambiental (0165)</t>
  </si>
  <si>
    <t>Técnico Superior en Desarrollo y Fabricación de Productos Cerámicos (RD_1797/2008): Gestión de la calidad, prevención de riesgos laborales y protección ambiental (0165)</t>
  </si>
  <si>
    <t>Técnico Superior en Programación de la Producción en Fabricación Mecánica (RD_1687/2007): Gestión de la calidad, prevención de riesgos laborales y protección ambiental (0165)</t>
  </si>
  <si>
    <t>Técnico Superior en Programación de la Producción en Moldeo de Metales y Polímeros (RD_882/2011): Gestión de la calidad, prevención de riesgos laborales y protección ambiental (0165)</t>
  </si>
  <si>
    <t>RD_M_1688/2011_1231</t>
  </si>
  <si>
    <t>Técnico Superior en Gestión de Ventas y Espacios Comerciales (RD_1573/2011): Gestión de productos y promociones en el punto de venta (0927)</t>
  </si>
  <si>
    <t>RD_M_1688/2011_1234</t>
  </si>
  <si>
    <t>Técnico Superior en Diseño y Gestión de la Producción Gráfica (RD_175/2013): Comercialización de productos gráficos y atención al cliente (1480)</t>
  </si>
  <si>
    <t>Técnico Superior en Diseño y Edición de Publicaciones Impresas y Multimedia (RD_174/2013): Comercialización de productos gráficos y atención al cliente (1480)</t>
  </si>
  <si>
    <t>RD_M_1689/2007_0020</t>
  </si>
  <si>
    <t>RD_M_1689/2007_0103</t>
  </si>
  <si>
    <t>RD_M_1689/2011_0996</t>
  </si>
  <si>
    <t>RD_M_1691/2007_0221</t>
  </si>
  <si>
    <t>RD_M_1691/2007_0222</t>
  </si>
  <si>
    <t>RD_M_1691/2007_0223</t>
  </si>
  <si>
    <t>Técnico en Gestión Administrativa (RD_1631/2009): Tratamiento informático de la información (0440)</t>
  </si>
  <si>
    <t>RD_M_1692/2007_0007</t>
  </si>
  <si>
    <t>RD_M_1692/2007_0092</t>
  </si>
  <si>
    <t>Técnico en Mecanizado (RD_1398/2007): Ciclo completo (0000)</t>
  </si>
  <si>
    <t>RD_M_174/2008_0162</t>
  </si>
  <si>
    <t>RD_M_174/2008_0163</t>
  </si>
  <si>
    <t>RD_M_174/2013_1480</t>
  </si>
  <si>
    <t>RD_M_174/2013_1485</t>
  </si>
  <si>
    <t>Técnico Superior en Animaciones 3D, Juegos y Entornos Interactivos (RD_1583/2011): Ciclo completo (0000)</t>
  </si>
  <si>
    <t>RD_M_175/2008_0191</t>
  </si>
  <si>
    <t>RD_M_175/2013_1480</t>
  </si>
  <si>
    <t>RD_M_175/2013_1539</t>
  </si>
  <si>
    <t>RD_M_176/2008_0260</t>
  </si>
  <si>
    <t>RD_M_177/2008_0232</t>
  </si>
  <si>
    <t>Técnico en Redes y Estaciones de Tratamiento de Aguas (RD_114/2017): Instalaciones eléctricas en redes de agua (1561)</t>
  </si>
  <si>
    <t>Técnico Superior en Gestión del Agua (RD_113/2017): Sistemas eléctricos en instalaciones de agua (1576) + Automatismos y telecontrol en instalaciones de agua (1577)</t>
  </si>
  <si>
    <t>RD_M_177/2008_0233</t>
  </si>
  <si>
    <t>RD_M_177/2008_0234</t>
  </si>
  <si>
    <t>RD_M_178/2008_0109</t>
  </si>
  <si>
    <t>Técnico en Operaciones de Laboratorio (RD_554/2012): Química aplicada (1249) + Muestreo y operaciones unitarias de laboratorio (1250)</t>
  </si>
  <si>
    <t>RD_M_178/2008_0115</t>
  </si>
  <si>
    <t>Técnico en Redes y Estaciones de Tratamiento de Aguas (RD_114/2017): Calidad del agua (1564)</t>
  </si>
  <si>
    <t>RD_M_178/2008_0116</t>
  </si>
  <si>
    <t>RD_M_1792/2010_0037</t>
  </si>
  <si>
    <t>RD_M_1792/2010_0038</t>
  </si>
  <si>
    <t>RD_M_1792/2010_0302</t>
  </si>
  <si>
    <t>RD_M_1792/2010_0310</t>
  </si>
  <si>
    <t>RD_M_1792/2010_0393</t>
  </si>
  <si>
    <t>RD_M_1793/2010_0037</t>
  </si>
  <si>
    <t>RD_M_1793/2010_0038</t>
  </si>
  <si>
    <t>RD_M_1793/2010_0042</t>
  </si>
  <si>
    <t>Técnico en Mantenimiento y Control de la Maquinaria de Buques y Embarcaciones (RD_1072/2012): Instalación y mantenimiento de maquinaria de frío y climatización en buques y embarcaciones (1176)</t>
  </si>
  <si>
    <t>RD_M_1796/2008_0293</t>
  </si>
  <si>
    <t>RD_M_1798/2008_0030</t>
  </si>
  <si>
    <t>RD_M_1798/2008_0116</t>
  </si>
  <si>
    <t>Técnico en Mantenimiento Electromecánico (RD_1589/2011): Ciclo completo (0000)</t>
  </si>
  <si>
    <t>RD_M_1798/2008_0146</t>
  </si>
  <si>
    <t>Técnico en Panadería, Repostería y Confitería (RD_1399/2007): Presentación y venta de productos de panadería y pastelería (0032)</t>
  </si>
  <si>
    <t>RD_M_219/2008_0120</t>
  </si>
  <si>
    <t>RD_M_220/2008_0120</t>
  </si>
  <si>
    <t>RD_M_220/2008_0124</t>
  </si>
  <si>
    <t>Técnico Superior en Eficiencia Energética y Energía Solar Térmica (RD_1177/2008): Eficiencia energética de instalaciones (0349) + Configuración de instalaciones solares térmicas (0352)</t>
  </si>
  <si>
    <t>RD_M_220/2008_0134</t>
  </si>
  <si>
    <t>Técnico Superior en Desarrollo de Proyectos de Instalaciones Térmicas y de Fluidos (RD_219/2008): Configuración de instalaciones de climatización, calefacción y ACS (0125) + Configuración de instalaciones frigoríficas (0126) + Configuración de instalaciones de fluidos (0127)</t>
  </si>
  <si>
    <t>RD_M_254/2011_0706</t>
  </si>
  <si>
    <t>RD_M_255/2011_0260</t>
  </si>
  <si>
    <t>RD_M_255/2011_0452</t>
  </si>
  <si>
    <t>RD_M_255/2011_0742</t>
  </si>
  <si>
    <t>RD_M_256/2011_0643</t>
  </si>
  <si>
    <t>RD_M_257/2011_0116</t>
  </si>
  <si>
    <t>RD_M_260/2011_0693</t>
  </si>
  <si>
    <t>Técnico Superior en Educación y Control Ambiental (RD_384/2011): Ciclo completo (0000)</t>
  </si>
  <si>
    <t>RD_M_260/2011_0811</t>
  </si>
  <si>
    <t>Técnico Superior en Paisajismo y Medio Rural (RD_259/2011): Gestión y organización del vivero (0691)</t>
  </si>
  <si>
    <t>RD_M_260/2011_0815</t>
  </si>
  <si>
    <t>RD_M_387/2011_0007</t>
  </si>
  <si>
    <t>RD_M_387/2011_0722</t>
  </si>
  <si>
    <t>Técnico en Mantenimiento y Control de la Maquinaria de Buques y Embarcaciones (RD_1072/2012): Regulación y mantenimiento de automatismos en buques y embarcaciones (1174)</t>
  </si>
  <si>
    <t>RD_M_450/2010_0483</t>
  </si>
  <si>
    <t>Técnico Superior en Administración de Sistemas Informáticos en Red (RD_1629/2009): Ciclo completo (0000)</t>
  </si>
  <si>
    <t>RD_M_450/2010_0484</t>
  </si>
  <si>
    <t>RD_M_450/2010_0489</t>
  </si>
  <si>
    <t>RD_M_451/2010_0084</t>
  </si>
  <si>
    <t>RD_M_451/2010_0086</t>
  </si>
  <si>
    <t>RD_M_451/2010_0191</t>
  </si>
  <si>
    <t>Técnico Superior en Mantenimiento de Instalaciones Térmicas y de Fluidos (RD_220/2008): Ciclo completo (0000)</t>
  </si>
  <si>
    <t>RD_M_451/2010_0464</t>
  </si>
  <si>
    <t>RD_M_452/2010_0030</t>
  </si>
  <si>
    <t>RD_M_452/2010_0116</t>
  </si>
  <si>
    <t>RD_M_452/2010_0146</t>
  </si>
  <si>
    <t>RD_M_453/2010_0260</t>
  </si>
  <si>
    <t>RD_M_453/2010_0452</t>
  </si>
  <si>
    <t>RD_M_453/2010_0457</t>
  </si>
  <si>
    <t>Técnico en Mantenimiento de Material Rodante Ferroviario (RD_1145/2012): Circuitos auxiliares (0975)</t>
  </si>
  <si>
    <t>RD_M_454/2010_0116</t>
  </si>
  <si>
    <t>RD_M_553/2012_1267</t>
  </si>
  <si>
    <t>RD_M_554/2012_0116</t>
  </si>
  <si>
    <t>RD_M_554/2012_1249</t>
  </si>
  <si>
    <t>Técnico en Planta Química (RD_178/2008): Parámetros químicos (0109)</t>
  </si>
  <si>
    <t>RD_M_554/2012_1250</t>
  </si>
  <si>
    <t>Técnico Superior en Laboratorio de Análisis y de Control de Calidad (RD_1395/2007): Muestreo y preparación de la muestra (0065)</t>
  </si>
  <si>
    <t>RD_M_555/2012_1210</t>
  </si>
  <si>
    <t>RD_M_556/2012_1298</t>
  </si>
  <si>
    <t>RD_M_556/2012_1299</t>
  </si>
  <si>
    <t>RD_M_556/2012_1300</t>
  </si>
  <si>
    <t>RD_M_556/2012_1304</t>
  </si>
  <si>
    <t>RD_M_636/2015_1287</t>
  </si>
  <si>
    <t>Técnico Superior en Proyectos de Edificación (RD_690/2010): Representaciones de construcción (0563)</t>
  </si>
  <si>
    <t>Técnico Superior en Proyectos de Obra Civil (RD_386/2011): Representaciones de construcción (0563)</t>
  </si>
  <si>
    <t>RD_M_686/2010_0483</t>
  </si>
  <si>
    <t>RD_M_686/2010_0484</t>
  </si>
  <si>
    <t>RD_M_687/2010_0501</t>
  </si>
  <si>
    <t>Técnico Superior en Procesos y Calidad en la Industria Alimentaria (RD_451/2010): Gestión de calidad y ambiental en la industria alimentaria (0086) + Nutrición y seguridad alimentaria (0468)</t>
  </si>
  <si>
    <t>Técnico Superior en Vitivinicultura (RD_1688/2007): Legislación vitivinícola y seguridad alimentaria (0085) + Gestión de calidad y ambiental en la industria alimentaria (0086)</t>
  </si>
  <si>
    <t>RD_M_690/2010_0569</t>
  </si>
  <si>
    <t>Técnico Superior en Eficiencia Energética y Energía Solar Térmica (RD_1177/2008): Certificación energética de edificios (0350)</t>
  </si>
  <si>
    <t>RD_M_838/2015_1585</t>
  </si>
  <si>
    <t>Técnico Superior en Sistemas Electrotécnicos y Automatizados (RD_1127/2010): Configuración de instalaciones eléctricas (0524) + Gestión del montaje y del mantenimiento de instalaciones (0602)</t>
  </si>
  <si>
    <t>Técnico Superior en Desarrollo de Proyectos de Instalaciones Térmicas y de Fluidos (RD_219/2008): Proceso de montaje de instalaciones (0122) + Planificación del montaje de instalaciones (0128)</t>
  </si>
  <si>
    <t>Técnico Superior en Desarrollo de Proyectos de Instalaciones Térmicas y de Fluidos (RD_219/2008): Sistemas eléctricos y automáticos (0120) + Proceso de montaje de instalaciones (0122)</t>
  </si>
  <si>
    <t>RD_M_838/2015_1586</t>
  </si>
  <si>
    <t>Técnico Superior en Automatización y Robótica Industrial (RD_1581/2011): Sistemas eléctricos, neumáticos e hidráulicos (0959)</t>
  </si>
  <si>
    <t>Técnico Superior en Mecatrónica Industrial (RD_1576/2011): Sistemas hidráulicos y neumáticos (0936)</t>
  </si>
  <si>
    <t>RD_M_838/2015_1587</t>
  </si>
  <si>
    <t>Técnico Superior en Mantenimiento Electrónico (RD_1578/2011): Circuitos electrónicos analógicos (1051) + Equipos microprogramables (1052)</t>
  </si>
  <si>
    <t>RD_M_880/2011_0538</t>
  </si>
  <si>
    <t>RD_M_880/2011_0539</t>
  </si>
  <si>
    <t>RD_M_880/2011_0542</t>
  </si>
  <si>
    <t>RD_M_880/2011_0778</t>
  </si>
  <si>
    <t>RD_M_882/2011_0007</t>
  </si>
  <si>
    <t>RD_M_882/2011_0162</t>
  </si>
  <si>
    <t>RD_M_882/2011_0163</t>
  </si>
  <si>
    <t>RD_M_883/2011_0552</t>
  </si>
  <si>
    <t>RD_M_955/2008_0116</t>
  </si>
  <si>
    <t>RD_M_955/2008_0271</t>
  </si>
  <si>
    <t>Técnico Superior en Marketing y Publicidad (RD_1571/2011): Atención al cliente, consumidor y usuario (1110)</t>
  </si>
  <si>
    <t>Técnico en Cuidados Auxiliares de Enfermería (RD_546/1995): Ciclo completo</t>
  </si>
  <si>
    <t>Técnico en Comercio (RD_1655/1994): Gestión de un pequeño establecimiento comercial</t>
  </si>
  <si>
    <t>Técnico superior en Prótesis Dentales (RD_541/1995): Organización, administración y gestión de una unidad-gabinete de prótesis dentales</t>
  </si>
  <si>
    <t>Técnico superior en Administración y Finanzas (RD_1659/1994): Ciclo completo</t>
  </si>
  <si>
    <t>RD_M_1071/2012_0404</t>
  </si>
  <si>
    <t>Técnico en Trabajos Forestales y de Conservación del Medio Natural (RD_1713/1996): Agrotecnología</t>
  </si>
  <si>
    <t>Técnico en Jardinería (RD_1714/1996): Agrotecnología</t>
  </si>
  <si>
    <t>Técnico en Explotaciones Agrarias Extensivas (RD_1715/1996): Agrotecnología</t>
  </si>
  <si>
    <t>Técnico en Explotaciones Agrícolas Intensivas (RD_1716/1996): Agrotecnología</t>
  </si>
  <si>
    <t>Técnico en Explotaciones Ganaderas (RD_1717/1996): Agrotecnología</t>
  </si>
  <si>
    <t>RD_M_1071/2012_0409</t>
  </si>
  <si>
    <t>Técnico en Trabajos Forestales y de Conservación del Medio Natural (RD_1713/1996): Conservación y defensa de las masas forestales</t>
  </si>
  <si>
    <t>RD_M_1071/2012_0479</t>
  </si>
  <si>
    <t>RD_M_1071/2012_0832</t>
  </si>
  <si>
    <t>RD_M_1071/2012_0833</t>
  </si>
  <si>
    <t>Técnico en Trabajos Forestales y de Conservación del Medio Natural (RD_1713/1996): Aprovechamientos forestales</t>
  </si>
  <si>
    <t>RD_M_1071/2012_0834</t>
  </si>
  <si>
    <t>Técnico en Trabajos Forestales y de Conservación del Medio Natural (RD_1713/1996): Aprovechamientos cinegéticos y piscícolas</t>
  </si>
  <si>
    <t>RD_M_1071/2012_0835</t>
  </si>
  <si>
    <t>Técnico en Trabajos Forestales y de Conservación del Medio Natural (RD_1713/1996): Producción de plantas</t>
  </si>
  <si>
    <t>Técnico en Jardinería (RD_1714/1996): Producción de plantas</t>
  </si>
  <si>
    <t>Técnico en Explotaciones Agrícolas Intensivas (RD_1716/1996): Producción de plantas</t>
  </si>
  <si>
    <t>RD_M_1071/2012_0836</t>
  </si>
  <si>
    <t>RD_M_1071/2012_0837</t>
  </si>
  <si>
    <t>Técnico en Trabajos Forestales y de Conservación del Medio Natural (RD_1713/1996): Mecanización agraria + Instalaciones agrarias</t>
  </si>
  <si>
    <t>Técnico en Jardinería (RD_1714/1996): Mecanización agraria + Instalaciones agrarias</t>
  </si>
  <si>
    <t>Técnico en Explotaciones Agrarias Extensivas (RD_1715/1996): Mecanización agraria + Instalaciones agrarias</t>
  </si>
  <si>
    <t>Técnico en Explotaciones Agrícolas Intensivas (RD_1716/1996): Mecanización agraria + Instalaciones agrarias</t>
  </si>
  <si>
    <t>Técnico en Explotaciones Ganaderas (RD_1717/1996): Mecanización agraria + Instalaciones agrarias</t>
  </si>
  <si>
    <t>RD_M_1071/2012_0838</t>
  </si>
  <si>
    <t>Técnico en Trabajos Forestales y de Conservación del Medio Natural (RD_1713/1996): Actividades de uso público en espacios naturales</t>
  </si>
  <si>
    <t>RD_M_1072/2012_1032</t>
  </si>
  <si>
    <t>Técnico en Operación, Control y Mantenimiento de Máquinas e Instalaciones del Buque (RD_725/1994): Seguridad, supervivencia y primeros auxilios en la mar</t>
  </si>
  <si>
    <t>Técnico en Pesca y Transporte Marítimo (RD_724/1994): Seguridad, supervivencia y primeros auxilios en la mar</t>
  </si>
  <si>
    <t>Técnico Superior en Supervisión y Control de Máquinas e Instalaciones del Buque (RD_722/1994): Seguridad, supervivencia y primeros auxilios en la mar</t>
  </si>
  <si>
    <t>RD_M_1072/2012_1033</t>
  </si>
  <si>
    <t>RD_M_1072/2012_1172</t>
  </si>
  <si>
    <t>Técnico en Operación, Control y Mantenimiento de Máquinas e Instalaciones del Buque (RD_725/1994): Operación y mantenimiento de los equipos de propulsión y servicios</t>
  </si>
  <si>
    <t>RD_M_1072/2012_1173</t>
  </si>
  <si>
    <t>Técnico en Operación, Control y Mantenimiento de Máquinas e Instalaciones del Buque (RD_725/1994): Operaciones auxiliares de mantenimiento industrial</t>
  </si>
  <si>
    <t>RD_M_1072/2012_1174</t>
  </si>
  <si>
    <t>Técnico en Operación, Control y Mantenimiento de Máquinas e Instalaciones del Buque (RD_725/1994): Automatización: regulación y control</t>
  </si>
  <si>
    <t>Técnico en Pesca y Transporte Marítimo (RD_724/1994): Automatización, regulación y control</t>
  </si>
  <si>
    <t>RD_M_1072/2012_1175</t>
  </si>
  <si>
    <t>Técnico en Operación, Control y Mantenimiento de Máquinas e Instalaciones del Buque (RD_725/1994): Instalaciones y máquinas eléctricas</t>
  </si>
  <si>
    <t>RD_M_1072/2012_1176</t>
  </si>
  <si>
    <t>Técnico en Operación, Control y Mantenimiento de Máquinas e Instalaciones del Buque (RD_725/1994): Operación y mantenimiento de los sistemas frigoríficos y de producción</t>
  </si>
  <si>
    <t>RD_M_1072/2012_1177</t>
  </si>
  <si>
    <t>RD_M_1073/2012_0758</t>
  </si>
  <si>
    <t>Técnico en Buceo de Media Profundidad (RD_727/1994): Inmersión a media profundidad</t>
  </si>
  <si>
    <t>RD_M_1073/2012_0759</t>
  </si>
  <si>
    <t>RD_M_1073/2012_0760</t>
  </si>
  <si>
    <t>Técnico en Buceo de Media Profundidad (RD_727/1994): Reparaciones a flote y reflotamientos</t>
  </si>
  <si>
    <t>RD_M_1073/2012_0761</t>
  </si>
  <si>
    <t>Técnico en Buceo de Media Profundidad (RD_727/1994): Procedimientos de corte y soldadura subacuáticos</t>
  </si>
  <si>
    <t>RD_M_1073/2012_0762</t>
  </si>
  <si>
    <t>Técnico en Buceo de Media Profundidad (RD_727/1994): Trabajos subacuáticos de obras hidráulicas y con explosivos</t>
  </si>
  <si>
    <t>RD_M_1074/2012_0017</t>
  </si>
  <si>
    <t>Técnico Superior en Animación Socio-cultural (RD_2058/1995): Animación y dinámica de grupos</t>
  </si>
  <si>
    <t>Técnico superior en Animación de Actividades Físicas y Deportivas (RD_2048/1995): Animación y dinámica de grupos</t>
  </si>
  <si>
    <t>RD_M_1074/2012_0337</t>
  </si>
  <si>
    <t>Técnico Superior en Integración Social (RD_2061/1995): Contexto y metodología de la intervención social</t>
  </si>
  <si>
    <t>RD_M_1074/2012_0338</t>
  </si>
  <si>
    <t>Técnico Superior en Integración Social (RD_2061/1995): Inserción ocupacional</t>
  </si>
  <si>
    <t>RD_M_1074/2012_0339</t>
  </si>
  <si>
    <t>Técnico Superior en Integración Social (RD_2061/1995): Atención a unidades de convivencia</t>
  </si>
  <si>
    <t>RD_M_1074/2012_0342</t>
  </si>
  <si>
    <t>Técnico Superior en Integración Social (RD_2061/1995): Habilidades de autonomía personal y social</t>
  </si>
  <si>
    <t>RD_M_1074/2012_0343</t>
  </si>
  <si>
    <t>Técnico Superior en Integración Social (RD_2061/1995): Pautas básicas y sistemas alternativos de comunicación</t>
  </si>
  <si>
    <t>RD_M_1074/2012_0344</t>
  </si>
  <si>
    <t>Técnico Superior en Animación Socio-cultural (RD_2058/1995): Metodología de la Intervención Social</t>
  </si>
  <si>
    <t>RD_M_1075/2012_0800</t>
  </si>
  <si>
    <t>Técnico superior en Navegación, Pesca y Transporte Marítimo (RD_721/1994): Seguridad, prevención y supervivencia en la mar</t>
  </si>
  <si>
    <t>RD_M_1075/2012_0802</t>
  </si>
  <si>
    <t>Técnico superior en Navegación, Pesca y Transporte Marítimo (RD_721/1994): Atención sanitaria de urgencia a bordo</t>
  </si>
  <si>
    <t>RD_M_1075/2012_1308</t>
  </si>
  <si>
    <t>Técnico Superior en Supervisión y Control de Máquinas e Instalaciones del Buque (RD_722/1994): Sistemas de propulsión y servicios del buque</t>
  </si>
  <si>
    <t>RD_M_1075/2012_1309</t>
  </si>
  <si>
    <t>Técnico Superior en Supervisión y Control de Máquinas e Instalaciones del Buque (RD_722/1994): Técnicas auxiliares de mantenimiento industrial</t>
  </si>
  <si>
    <t>RD_M_1075/2012_1310</t>
  </si>
  <si>
    <t>Técnico Superior en Supervisión y Control de Máquinas e Instalaciones del Buque (RD_722/1994): Sistemas automáticos y de regulación del buque</t>
  </si>
  <si>
    <t>RD_M_1075/2012_1311</t>
  </si>
  <si>
    <t>Técnico Superior en Supervisión y Control de Máquinas e Instalaciones del Buque (RD_722/1994): Instalaciones y equipos eléctricos del buque</t>
  </si>
  <si>
    <t>RD_M_1075/2012_1312</t>
  </si>
  <si>
    <t>Técnico Superior en Supervisión y Control de Máquinas e Instalaciones del Buque (RD_722/1994): Instalaciones y procesos de extracción, preparación y conservación de la pesca</t>
  </si>
  <si>
    <t>RD_M_1075/2012_1313</t>
  </si>
  <si>
    <t>Técnico Superior en Supervisión y Control de Máquinas e Instalaciones del Buque (RD_722/1994): Planificación y gestión de las instalaciones</t>
  </si>
  <si>
    <t>Técnico superior en instalaciones Electrotécnicas (RD_621/1995): Técnicas y procesos en las instalaciones singulares en los edificios</t>
  </si>
  <si>
    <t>Técnico superior en instalaciones Electrotécnicas (RD_621/1995): Gestión del desarrollo de instalaciones electrotécnicas + Informática técnica</t>
  </si>
  <si>
    <t>Técnico superior en Sistemas de Regulación y Control Automáticos (RD_619/1995): Gestión del desarrrollo de sistemas automáticos + Informática industrial + Sistemas electrotécnicos de potencia</t>
  </si>
  <si>
    <t>RD_M_1127/2010_0522</t>
  </si>
  <si>
    <t>Técnico superior en instalaciones Electrotécnicas (RD_621/1995): Desarrollo de instalaciones eléctricas de distribución</t>
  </si>
  <si>
    <t>RD_M_1127/2010_0523</t>
  </si>
  <si>
    <t>Técnico superior en instalaciones Electrotécnicas (RD_621/1995): Técnicas y procesos en las instalaciones automatizadas en los edificios</t>
  </si>
  <si>
    <t>RD_M_1127/2010_0524</t>
  </si>
  <si>
    <t>Técnico superior en instalaciones Electrotécnicas (RD_621/1995): Desarrollo de instalaciones electrotécnicas en los edificios</t>
  </si>
  <si>
    <t>Técnico en Fabricación Industrial de Carpintería y Mueble (RD_731/1994): Materiales y productos en industrias de la madera</t>
  </si>
  <si>
    <t>Técnico en Fabricación a Medida e Instalación de Carpintería y Mueble (RD_732/1994): Materiales y productos en industrias de la madera</t>
  </si>
  <si>
    <t>Técnico en Transformación de Madera y Corcho (RD_730/1994): Materiales y productos en industrias de la madera</t>
  </si>
  <si>
    <t>RD_M_1128/2010_0540</t>
  </si>
  <si>
    <t>Técnico en Fabricación a Medida e Instalación de Carpintería y Mueble (RD_732/1994): Operaciones básicas de mecanizado en carpintería y mueble a medida</t>
  </si>
  <si>
    <t>Técnico en Fabricación a Medida e Instalación de Carpintería y Mueble (RD_732/1994): Fabricación a medida en carpinteria y mueble</t>
  </si>
  <si>
    <t>Técnico en Transformación de Madera y Corcho (RD_730/1994): Mecanizado industrial de la madera</t>
  </si>
  <si>
    <t>RD_M_1128/2010_0541</t>
  </si>
  <si>
    <t>Técnico en Fabricación Industrial de Carpintería y Mueble (RD_731/1994): Control de almacén en industrias de la madera</t>
  </si>
  <si>
    <t>Técnico en Transformación de Madera y Corcho (RD_730/1994): Control de almacén en industrias de la madera</t>
  </si>
  <si>
    <t>RD_M_1128/2010_0544</t>
  </si>
  <si>
    <t>RD_M_1128/2010_0546</t>
  </si>
  <si>
    <t>Técnico en Fabricación Industrial de Carpintería y Mueble (RD_731/1994): Montaje industrial de carpintería y mueble</t>
  </si>
  <si>
    <t>RD_M_1128/2010_0547</t>
  </si>
  <si>
    <t>Técnico en Fabricación Industrial de Carpintería y Mueble (RD_731/1994): Aplicación de acabados en carpintería y mueble</t>
  </si>
  <si>
    <t>RD_M_1129/2010_0404</t>
  </si>
  <si>
    <t>RD_M_1129/2010_0408</t>
  </si>
  <si>
    <t>Técnico en Jardinería (RD_1714/1996): Instalaciones agrarias</t>
  </si>
  <si>
    <t>Técnico en Explotaciones Agrarias Extensivas (RD_1715/1996): Instalaciones agrarias</t>
  </si>
  <si>
    <t>Técnico en Explotaciones Agrícolas Intensivas (RD_1716/1996): Instalaciones agrarias</t>
  </si>
  <si>
    <t>Técnico en Explotaciones Ganaderas (RD_1717/1996): Instalaciones agrarias</t>
  </si>
  <si>
    <t>Técnico en Trabajos Forestales y de Conservación del Medio Natural (RD_1713/1996): Instalaciones agrarias</t>
  </si>
  <si>
    <t>RD_M_1129/2010_0409</t>
  </si>
  <si>
    <t>Técnico en Jardinería (RD_1714/1996): Métodos de control fitosanitario</t>
  </si>
  <si>
    <t>Técnico en Explotaciones Agrarias Extensivas (RD_1715/1996): Métodos de control fitosanitario</t>
  </si>
  <si>
    <t>Técnico en Explotaciones Agrícolas Intensivas (RD_1716/1996): Métodos de control fitosanitario</t>
  </si>
  <si>
    <t>RD_M_1129/2010_0479</t>
  </si>
  <si>
    <t>RD_M_1129/2010_0576</t>
  </si>
  <si>
    <t>Técnico en Jardinería (RD_1714/1996): Implantación de jardines y zonas verdes</t>
  </si>
  <si>
    <t>RD_M_1129/2010_0577</t>
  </si>
  <si>
    <t>Técnico en Jardinería (RD_1714/1996): Conservación y mejora de jardines y zonas verdes</t>
  </si>
  <si>
    <t>RD_M_1129/2010_0578</t>
  </si>
  <si>
    <t>RD_M_1129/2010_0579</t>
  </si>
  <si>
    <t>Técnico en Jardinería (RD_1714/1996): Jardinería de interiores y arreglos florales</t>
  </si>
  <si>
    <t>Técnico superior en Realización y Planes de Obras (RD_2210/1993): Raplanteos de obra + Planes de obra</t>
  </si>
  <si>
    <t>Técnico superior en Levantamientos y Desarrollos Urbanísticos (RD_2209/1993): Raplanteos de obra + Planes de obra</t>
  </si>
  <si>
    <t>Técnico Superior en Mantenimiento y Montaje de Instalaciones de Edificio y Proceso (RD_2044/1995): Ejecución de procesos de montaje de instalaciones</t>
  </si>
  <si>
    <t>Técnico Superior en Desarrollo de Proyectos de Instalaciones de Fluidos, Térmicas y de Manutención (RD_2042/1995): Técnicas de montaje de instalaciones</t>
  </si>
  <si>
    <t>Técnico en Montaje y Mantenimiento de Instalaciones de Frío, Climatización y Producción de Calor (RD_2046/1995): Instalaciones de agua y gas</t>
  </si>
  <si>
    <t>Técnico en Operación, Control y Mantenimiento de Máquinas e Instalaciones del Buque (RD_725/1994): Ciclo completo</t>
  </si>
  <si>
    <t>Técnico Superior en Supervisión y Control de Máquinas e Instalaciones del Buque (RD_722/1994): Ciclo completo</t>
  </si>
  <si>
    <t>Técnico superior en Desarrollo y Aplicación de Proyectos de Construcción (RD_2208/1993): Proyecto de edificación</t>
  </si>
  <si>
    <t>Técnico en Montaje y Mantenimiento de Instalaciones de Frío, Climatización y Producción de Calor (RD_2046/1995): Instalaciones eléctricas y automatismos</t>
  </si>
  <si>
    <t>Técnico en Equipos e Instalaciones Electrotécnicas (RD_623/1995): Ciclo completo</t>
  </si>
  <si>
    <t>Técnico en Montaje y Mantenimiento de Instalaciones de Frío, Climatización y Producción de Calor (RD_2046/1995): Técnicas de mecanizado y unión para el montaje y mantenimiento de instalaciones</t>
  </si>
  <si>
    <t>RD_M_1144/2012_1027</t>
  </si>
  <si>
    <t>Técnico en Pesca y Transporte Marítimo (RD_724/1994): Navegación y comunicaciones del buque</t>
  </si>
  <si>
    <t>RD_M_1144/2012_1029</t>
  </si>
  <si>
    <t>Técnico en Pesca y Transporte Marítimo (RD_724/1994): Pesca: extracción y conservación</t>
  </si>
  <si>
    <t>RD_M_1144/2012_1030</t>
  </si>
  <si>
    <t>Técnico en Pesca y Transporte Marítimo (RD_724/1994): Administración del buque</t>
  </si>
  <si>
    <t>RD_M_1144/2012_1032</t>
  </si>
  <si>
    <t>RD_M_1144/2012_1033</t>
  </si>
  <si>
    <t>RD_M_1144/2012_1035</t>
  </si>
  <si>
    <t>Técnico en Pesca y Transporte Marítimo (RD_724/1994): Estabilidad y maniobra del buque</t>
  </si>
  <si>
    <t>RD_M_1144/2012_1036</t>
  </si>
  <si>
    <t>Técnico en Electromecánica de Vehículos (RD_1649/1994): Técnicas de mecanizado para el mantenimiento de vehículos</t>
  </si>
  <si>
    <t>Técnico en Instalación y Mantenimiento Electromecánico de Maquinaria y Conducción de Lineas (RD_2045/1995): Técnicas de mecanizado para el mantenimiento y montaje</t>
  </si>
  <si>
    <t>Técnico en Mantenimiento Ferroviario (RD_2047/1995): Técnicas de mecanizado para el mantenimiento y montaje</t>
  </si>
  <si>
    <t>Técnico en Electromecánica de Vehículos (RD_1649/1994): Motores</t>
  </si>
  <si>
    <t>Técnico en Electromecánica de Vehículos (RD_1649/1994): Sistemas auxiliares del motor</t>
  </si>
  <si>
    <t>Técnico en Mantenimiento Ferroviario (RD_2047/1995): Motor Diesel</t>
  </si>
  <si>
    <t>RD_M_1177/2008_0121</t>
  </si>
  <si>
    <t>Técnico Superior en Mantenimiento y Montaje de Instalaciones de Edificio y Proceso (RD_2044/1995): Equipos para instalaciones térmicas y de fluidos</t>
  </si>
  <si>
    <t>Técnico Superior en Desarrollo de Proyectos de Instalaciones de Fluidos, Térmicas y de Manutención (RD_2042/1995): Instalaciones de fluidos + Instalaciones de procesos térmicos</t>
  </si>
  <si>
    <t>RD_M_1177/2008_0122</t>
  </si>
  <si>
    <t>Técnico Superior en Mantenimiento y Montaje de Instalaciones de Edificio y Proceso (RD_2044/1995): Representación gráfica en instalaciones</t>
  </si>
  <si>
    <t>Técnico Superior en Desarrollo de Proyectos de Instalaciones de Fluidos, Térmicas y de Manutención (RD_2042/1995): Representación gráfica en instalaciones</t>
  </si>
  <si>
    <t>RD_M_1254/2009_0171</t>
  </si>
  <si>
    <t>Técnico superior en Agencias de Viajes (RD_2215/1993): Comercialización de productos y servicios turísticos</t>
  </si>
  <si>
    <t>Técnico superior en Alojamiento (RD_2216/1993): Comercialización de productos y servicios turísticos</t>
  </si>
  <si>
    <t>Técnico superior en Información y Comercialización Turísticas (RD_2217/1993): Diseño y comercialización de productos turísticos locales y regionales</t>
  </si>
  <si>
    <t>RD_M_1254/2009_0397</t>
  </si>
  <si>
    <t>Técnico superior en Agencias de Viajes (RD_2215/1993): Producción y venta de servicios turísticos en agencias de viajes</t>
  </si>
  <si>
    <t>RD_M_1254/2009_0398</t>
  </si>
  <si>
    <t>RD_M_1254/2009_0399</t>
  </si>
  <si>
    <t>Técnico superior en Agencias de Viajes (RD_2215/1993): Gestión económico-administrativa en agencias de viajes + Organización y control en agencias de viajes</t>
  </si>
  <si>
    <t>RD_M_1254/2009_0402</t>
  </si>
  <si>
    <t>RD_M_1255/2009_0171</t>
  </si>
  <si>
    <t>Técnico superior en Información y Comercialización Turísticas (RD_2217/1993): Información turística en destino</t>
  </si>
  <si>
    <t>Técnico superior en Información y Comercialización Turísticas (RD_2217/1993): Productos y destinos turísticos nacionales e internacionales</t>
  </si>
  <si>
    <t>RD_M_1255/2009_0383</t>
  </si>
  <si>
    <t>RD_M_1255/2009_0384</t>
  </si>
  <si>
    <t>RD_M_1255/2009_0385</t>
  </si>
  <si>
    <t>RD_M_1255/2009_0386</t>
  </si>
  <si>
    <t>RD_M_1255/2009_0387</t>
  </si>
  <si>
    <t>RD_M_1394/2007_0011</t>
  </si>
  <si>
    <t>Técnico superior en Educación Infantil (RD_2059/1995): Didáctica de la Educación Infantil</t>
  </si>
  <si>
    <t>RD_M_1394/2007_0012</t>
  </si>
  <si>
    <t>Técnico superior en Educación Infantil (RD_2059/1995): Autonomía personal y salud</t>
  </si>
  <si>
    <t>RD_M_1394/2007_0013</t>
  </si>
  <si>
    <t>Técnico superior en Educación Infantil (RD_2059/1995): Metodología del juego</t>
  </si>
  <si>
    <t>RD_M_1394/2007_0014</t>
  </si>
  <si>
    <t>Técnico superior en Educación Infantil (RD_2059/1995): Expresión y comunicación</t>
  </si>
  <si>
    <t>RD_M_1394/2007_0015</t>
  </si>
  <si>
    <t>Técnico superior en Educación Infantil (RD_2059/1995): Desarrollo cognitivo y motor</t>
  </si>
  <si>
    <t>RD_M_1394/2007_0016</t>
  </si>
  <si>
    <t>Técnico superior en Educación Infantil (RD_2059/1995): Desarrollo socioafectivo e intervención con las familias</t>
  </si>
  <si>
    <t>RD_M_1394/2007_0017</t>
  </si>
  <si>
    <t>Técnico superior en Educación Infantil (RD_2059/1995): Animación y dinámica de grupos</t>
  </si>
  <si>
    <t>RD_M_1395/2007_0065</t>
  </si>
  <si>
    <t>Técnico superior en Análisis y Control (RD_811/1993): Análisis químico e instrumental</t>
  </si>
  <si>
    <t>RD_M_1395/2007_0066</t>
  </si>
  <si>
    <t>RD_M_1395/2007_0067</t>
  </si>
  <si>
    <t>RD_M_1395/2007_0068</t>
  </si>
  <si>
    <t>Técnico superior en Análisis y Control (RD_811/1993): Ensayos físicos</t>
  </si>
  <si>
    <t>RD_M_1395/2007_0069</t>
  </si>
  <si>
    <t>RD_M_1395/2007_0070</t>
  </si>
  <si>
    <t>Técnico superior en Análisis y Control (RD_811/1993): Análisis microbiológico</t>
  </si>
  <si>
    <t>Técnico superior en Laboratorio de Diagnóstico Clínico (RD_539/1995): Fundamentos y técnicas de análisis microbiológicos</t>
  </si>
  <si>
    <t>RD_M_1395/2007_0072</t>
  </si>
  <si>
    <t>Técnico superior en Análisis y Control (RD_811/1993): Seguridad y ambiente químico en el laboratorio + Organización y gestión del laboratorio</t>
  </si>
  <si>
    <t>RD_M_1396/2007_0026</t>
  </si>
  <si>
    <t>Técnico en Cocina (RD_2219/1993): Repostería</t>
  </si>
  <si>
    <t>Técnico en Pastelería y Panadería (RD_2220/1993): Técnicas de pastelería, panadería y conservación de alimentos</t>
  </si>
  <si>
    <t>Técnico en Panificación y Repostería (RD_2057/1995): Elaboraciones básicas de pastelería</t>
  </si>
  <si>
    <t>RD_M_1396/2007_0028</t>
  </si>
  <si>
    <t>RD_M_1396/2007_0045</t>
  </si>
  <si>
    <t>Técnico en Cocina (RD_2219/1993): Ofertas gastronómicas y sistemas de aprovisionamiento</t>
  </si>
  <si>
    <t>Técnico en Servicios de Restaurante y Bar (RD_2221/1993): Ofertas gastronómicas y sistemas de aprovisionamiento</t>
  </si>
  <si>
    <t>RD_M_1396/2007_0046</t>
  </si>
  <si>
    <t>Técnico en Cocina (RD_2219/1993): Preelaboración y conservación de alimentos</t>
  </si>
  <si>
    <t>RD_M_1396/2007_0047</t>
  </si>
  <si>
    <t>Técnico en Cocina (RD_2219/1993): Técnicas culinarias</t>
  </si>
  <si>
    <t>RD_M_1396/2007_0048</t>
  </si>
  <si>
    <t>Técnico en Cocina (RD_2219/1993): Elaboraciones y productos culinarios</t>
  </si>
  <si>
    <t>Técnico en Electromecánica de Vehículos (RD_1649/1994): Ciclo completo</t>
  </si>
  <si>
    <t>Técnico superior en Automoción (RD_1648/1994): Ciclo completo</t>
  </si>
  <si>
    <t>RD_M_1398/2007_0001</t>
  </si>
  <si>
    <t>Técnico en Mecanizado (RD_2419/1994): Procedimientos de mecanizado</t>
  </si>
  <si>
    <t>RD_M_1398/2007_0002</t>
  </si>
  <si>
    <t>Técnico en Mecanizado (RD_2419/1994): Sistemas auxiliares de fabricación mecánica</t>
  </si>
  <si>
    <t>RD_M_1398/2007_0003</t>
  </si>
  <si>
    <t>Técnico en Mecanizado (RD_2419/1994): Control de las características del producto mecanizado</t>
  </si>
  <si>
    <t>RD_M_1398/2007_0004</t>
  </si>
  <si>
    <t>Técnico en Mecanizado (RD_2419/1994): Fabricación por abrasión, conformado y procedimientos especiales</t>
  </si>
  <si>
    <t>Técnico en Mecanizado (RD_2419/1994): Fabricación por arranque de viruta</t>
  </si>
  <si>
    <t>RD_M_1398/2007_0006</t>
  </si>
  <si>
    <t>Técnico en Fundición (RD_2421/1994): Fusión y colada</t>
  </si>
  <si>
    <t>Técnico en Soldadura y Calderería (RD_1657/1994): Desarrollos geométricos en construcciones metálicas</t>
  </si>
  <si>
    <t>Técnico en Mecanizado (RD_2419/1994): Preparación y programación de máquinas de fabricación mecánica</t>
  </si>
  <si>
    <t>Técnico en Fundición (RD_2421/1994): Control de las características del producto fundido</t>
  </si>
  <si>
    <t>Técnico en Soldadura y Calderería (RD_1657/1994): Calidad en contrucciones metálicas</t>
  </si>
  <si>
    <t>RD_M_1399/2007_0024</t>
  </si>
  <si>
    <t>Técnico en Panificación y Repostería (RD_2057/1995): Materias primas, productos y procesos de panadería, pastelería y confitería</t>
  </si>
  <si>
    <t>RD_M_1399/2007_0025</t>
  </si>
  <si>
    <t>Técnico en Panificación y Repostería (RD_2057/1995): Panadería y bollería</t>
  </si>
  <si>
    <t>Técnico en Pastelería y Panadería (RD_2220/1993): Panificación y pastelería salada</t>
  </si>
  <si>
    <t>RD_M_1399/2007_0026</t>
  </si>
  <si>
    <t>RD_M_1399/2007_0027</t>
  </si>
  <si>
    <t>Técnico en Panificación y Repostería (RD_2057/1995): Especialidades y acabados de pastelería y confitería</t>
  </si>
  <si>
    <t>RD_M_1399/2007_0028</t>
  </si>
  <si>
    <t>RD_M_1399/2007_0029</t>
  </si>
  <si>
    <t>Técnico en Pastelería y Panadería (RD_2220/1993): Productos de pastelería y repostería</t>
  </si>
  <si>
    <t>Técnico en Panificación y Repostería (RD_2057/1995): Operaciones y control de almacén</t>
  </si>
  <si>
    <t>Técnico en Pastelería y Panadería (RD_2220/1993): Ofertas gastronómicas y sistemas de aprovisionamiento</t>
  </si>
  <si>
    <t>RD_M_1399/2007_0031</t>
  </si>
  <si>
    <t>Técnico en Panificación y Repostería (RD_2057/1995): Higiene y seguridad en la industria alimentaria</t>
  </si>
  <si>
    <t>Técnico en Pastelería y Panadería (RD_2220/1993): Diseño de decoraciones en pastelería y montaje de servicios</t>
  </si>
  <si>
    <t>Técnico en Comercio (RD_1655/1994): Ciclo completo</t>
  </si>
  <si>
    <t>RD_M_1571/2011_0930</t>
  </si>
  <si>
    <t>Técnico superior en Gestión Comercial y Marketing (RD_1651/1994): Políticas de marketing</t>
  </si>
  <si>
    <t>RD_M_1572/2011_0622</t>
  </si>
  <si>
    <t>Técnico superior en Comercio Internacional (RD_1653/1994): Transporte internacional de mercancías</t>
  </si>
  <si>
    <t>RD_M_1572/2011_0624</t>
  </si>
  <si>
    <t>Técnico superior en Gestión del Transporte (RD_1654/1994): Comercialización del servicio de transporte</t>
  </si>
  <si>
    <t>RD_M_1572/2011_0625</t>
  </si>
  <si>
    <t>Técnico superior en Comercio Internacional (RD_1653/1994): Almacenaje de productos</t>
  </si>
  <si>
    <t>Técnico superior en Gestión Comercial y Marketing (RD_1651/1994): Logística comercial</t>
  </si>
  <si>
    <t>Técnico superior en Gestión del Transporte (RD_1654/1994): Almacenaje de productos</t>
  </si>
  <si>
    <t>RD_M_1572/2011_0627</t>
  </si>
  <si>
    <t>Técnico superior en Comercio Internacional (RD_1653/1994): Gestión administrativa del comercio internacional</t>
  </si>
  <si>
    <t>Técnico superior en Gestión del Transporte (RD_1654/1994): Gestión administrativa del comercio internacional</t>
  </si>
  <si>
    <t>RD_M_1572/2011_0628</t>
  </si>
  <si>
    <t>Técnico superior en Gestión del Transporte (RD_1654/1994): Planificación y gestión de la explotación del transporte terrestre + Organización del servicio de transporte terrestre</t>
  </si>
  <si>
    <t>RD_M_1572/2011_0629</t>
  </si>
  <si>
    <t>RD_M_1573/2011_0625</t>
  </si>
  <si>
    <t>RD_M_1573/2011_0930</t>
  </si>
  <si>
    <t>RD_M_1573/2011_1010</t>
  </si>
  <si>
    <t>Técnico superior en Gestión Comercial y Marketing (RD_1651/1994): Investigación comercial</t>
  </si>
  <si>
    <t>RD_M_1574/2011_0622</t>
  </si>
  <si>
    <t>Técnico superior en Gestión del Transporte (RD_1654/1994): Ciclo completo</t>
  </si>
  <si>
    <t>RD_M_1574/2011_0625</t>
  </si>
  <si>
    <t>RD_M_1574/2011_0627</t>
  </si>
  <si>
    <t>RD_M_1574/2011_0823</t>
  </si>
  <si>
    <t>Técnico superior en Comercio Internacional (RD_1653/1994): Marketing internacional</t>
  </si>
  <si>
    <t>RD_M_1574/2011_0824</t>
  </si>
  <si>
    <t>Técnico superior en Comercio Internacional (RD_1653/1994): Negociación internacional</t>
  </si>
  <si>
    <t>RD_M_1574/2011_0825</t>
  </si>
  <si>
    <t>Técnico superior en Comercio Internacional (RD_1653/1994): Financiación internacional</t>
  </si>
  <si>
    <t>RD_M_1574/2011_0826</t>
  </si>
  <si>
    <t>Técnico superior en Comercio Internacional (RD_1653/1994): Medios de pago internacionales</t>
  </si>
  <si>
    <t>RD_M_1575/2011_0997</t>
  </si>
  <si>
    <t>Técnico en Obras de Albañilería (RD_2212/1993): Obras de fábrica</t>
  </si>
  <si>
    <t>RD_M_1575/2011_0998</t>
  </si>
  <si>
    <t>Técnico en Obras de Albañilería (RD_2212/1993): Revestimientos continuos conglomerados</t>
  </si>
  <si>
    <t>Técnico en Acabados de Construcción (RD_2211/1993): Revestimientos continuos conglomerados</t>
  </si>
  <si>
    <t>RD_M_1575/2011_0999</t>
  </si>
  <si>
    <t>Técnico en Obras de Hormigón (RD_2213/1993): Encofrados y entibaciones</t>
  </si>
  <si>
    <t>RD_M_1575/2011_1000</t>
  </si>
  <si>
    <t>Técnico en Obras de Hormigón (RD_2213/1993): Hormigón + Armaduras</t>
  </si>
  <si>
    <t>RD_M_1575/2011_1001</t>
  </si>
  <si>
    <t>Técnico en Obras de Albañilería (RD_2212/1993): Organización de los trabajos de obras de albañilería</t>
  </si>
  <si>
    <t>Técnico en Obras de Hormigón (RD_2213/1993): Organización de los trabajos de obras de hormigón</t>
  </si>
  <si>
    <t>RD_M_1575/2011_1002</t>
  </si>
  <si>
    <t>Técnico en Obras de Albañilería (RD_2212/1993): Conducciones lineales sin presión</t>
  </si>
  <si>
    <t>Técnico en Obras de Hormigón (RD_2213/1993): Conducciones lineales sin presión</t>
  </si>
  <si>
    <t>RD_M_1575/2011_1003</t>
  </si>
  <si>
    <t>Técnico en Acabados de Construcción (RD_2211/1993): Solados y alicatados</t>
  </si>
  <si>
    <t>RD_M_1575/2011_1004</t>
  </si>
  <si>
    <t>Técnico en Obras de Albañilería (RD_2212/1993): Cubiertas e impermeabilizaciones</t>
  </si>
  <si>
    <t>RD_M_1575/2011_1005</t>
  </si>
  <si>
    <t>Técnico superior en Mantenimiento de Equipo Industrial (RD_2043/1995): Montaje y mantenimiento del sistema mecánico</t>
  </si>
  <si>
    <t>Técnico superior en Automoción (RD_1648/1994): Sistemas de transmisión de fuerzas y trenes de rodaje + Motores térmicos y sus sistemas auxiliares + Elementos amovibles y fijos no estructurales</t>
  </si>
  <si>
    <t>RD_M_1576/2011_0936</t>
  </si>
  <si>
    <t>Técnico superior en Mantenimiento de Equipo Industrial (RD_2043/1995): Montaje y mantenimiento de los sistemas hidráulico y neumático</t>
  </si>
  <si>
    <t>Técnico superior en Mantenimiento de Equipo Industrial (RD_2043/1995): Montaje y mantenimiento de los sistemas eléctrico y electrónico</t>
  </si>
  <si>
    <t>RD_M_1576/2011_0938</t>
  </si>
  <si>
    <t>Técnico superior en Mantenimiento de Equipo Industrial (RD_2043/1995): Elementos de máquinas</t>
  </si>
  <si>
    <t>RD_M_1576/2011_0939</t>
  </si>
  <si>
    <t>Técnico superior en Mantenimiento de Equipo Industrial (RD_2043/1995): Proyectos de modificación del equipo industrial</t>
  </si>
  <si>
    <t>RD_M_1576/2011_0940</t>
  </si>
  <si>
    <t>Técnico superior en Mantenimiento de Equipo Industrial (RD_2043/1995): Técnicas de fabricación para el mantenimiento y montaje</t>
  </si>
  <si>
    <t>RD_M_1576/2011_0941</t>
  </si>
  <si>
    <t>Técnico superior en Mantenimiento de Equipo Industrial (RD_2043/1995): Montaje y mantenimiento de sistemas automáticos de producción</t>
  </si>
  <si>
    <t>RD_M_1576/2011_0942</t>
  </si>
  <si>
    <t>Técnico superior en Mantenimiento de Equipo Industrial (RD_2043/1995): Procesos y gestión del mantenimiento + Calidad en el mantenimiento y montaje de equipos e instalaciones</t>
  </si>
  <si>
    <t>RD_M_1576/2011_0944</t>
  </si>
  <si>
    <t>RD_M_1577/2011_0750</t>
  </si>
  <si>
    <t>Técnico superior en Estética (RD_628/1995): Anatomía, fisiología y patología humanas aplicadas a la estética integral</t>
  </si>
  <si>
    <t>RD_M_1578/2011_1051</t>
  </si>
  <si>
    <t>Técnico superior en Desarrollo de Productos Electrónicos (RD_620/1995): Electrónica analógica</t>
  </si>
  <si>
    <t>RD_M_1578/2011_1052</t>
  </si>
  <si>
    <t>Técnico superior en Desarrollo de Productos Electrónicos (RD_620/1995): Lógica digital y microprogramable</t>
  </si>
  <si>
    <t>RD_M_1578/2011_1058</t>
  </si>
  <si>
    <t>Técnico superior en Desarrollo de Productos Electrónicos (RD_620/1995): Desarrollo y construcción de prototipos electrónicos</t>
  </si>
  <si>
    <t>RD_M_1578/2011_1059</t>
  </si>
  <si>
    <t>Técnico superior en Desarrollo de Productos Electrónicos (RD_620/1995): Mantenimiento de equipos electrónicos</t>
  </si>
  <si>
    <t>RD_M_1579/2011_0982</t>
  </si>
  <si>
    <t>Técnico superior en Desarrollo de Productos en Carpintería y Mueble (RD_728/1994): Procesos en industrias de la madera</t>
  </si>
  <si>
    <t>Técnico superior en Producción de Madera y Mueble (RD_729/1994): Procesos en industrias de la madera</t>
  </si>
  <si>
    <t>RD_M_1579/2011_0983</t>
  </si>
  <si>
    <t>Técnico superior en Producción de Madera y Mueble (RD_729/1994): Fabricación e instalación de carpintería y mueble</t>
  </si>
  <si>
    <t>RD_M_1579/2011_0984</t>
  </si>
  <si>
    <t>Técnico superior en Desarrollo de Productos en Carpintería y Mueble (RD_728/1994): Definición de producto en carpintería y mueble</t>
  </si>
  <si>
    <t>RD_M_1579/2011_0985</t>
  </si>
  <si>
    <t>Técnico superior en Desarrollo de Productos en Carpintería y Mueble (RD_728/1994): Construcción y análisis de prototipos de carpintería y mueble</t>
  </si>
  <si>
    <t>RD_M_1579/2011_0986</t>
  </si>
  <si>
    <t>Técnico superior en Desarrollo de Productos en Carpintería y Mueble (RD_728/1994): Desarrollo de producto en carpintería y mueble</t>
  </si>
  <si>
    <t>RD_M_1579/2011_0987</t>
  </si>
  <si>
    <t>Técnico superior en Producción de Madera y Mueble (RD_729/1994): Fabricación automatizada en industrias de la madera y el mueble</t>
  </si>
  <si>
    <t>RD_M_1579/2011_0988</t>
  </si>
  <si>
    <t>RD_M_1579/2011_0990</t>
  </si>
  <si>
    <t>Técnico superior en Producción de Madera y Mueble (RD_729/1994): Gestión de almacén en industrias de la madera y el mueble + Gestión y control de la producción en industrias de la madera y el mueble</t>
  </si>
  <si>
    <t>RD_M_1580/2011_0281</t>
  </si>
  <si>
    <t>Técnico superior en Procesos Textiles de Hilatura y Tejeduría de Calada (RD_733/1994): Procesos de hilatura y telas no tejidas</t>
  </si>
  <si>
    <t>RD_M_1580/2011_0282</t>
  </si>
  <si>
    <t>Técnico superior en Procesos Textiles de Hilatura y Tejeduría de Calada (RD_733/1994): Procesos de tejeduría de calada</t>
  </si>
  <si>
    <t>Técnico superior en Procesos Textiles de Hilatura y Tejeduría de Calada (RD_733/1994): Procesos de tejeduría de punto por urdimbre</t>
  </si>
  <si>
    <t>Técnico superior en Procesos Textiles de Hilatura y Tejeduría de Calada (RD_733/1994): Procesos de tejeduría de punto por recogida</t>
  </si>
  <si>
    <t>RD_M_1580/2011_0283</t>
  </si>
  <si>
    <t>Técnico Superior en Patronaje (RD_738/1994): Análisis de diseños y Modelos de Artículos</t>
  </si>
  <si>
    <t>RD_M_1580/2011_0444</t>
  </si>
  <si>
    <t>Técnico superior en Procesos de Ennoblecimiento Textil (RD_735/1994): Procesos de tratamientos de ennoblecimiento textil</t>
  </si>
  <si>
    <t>RD_M_1581/2011_0959</t>
  </si>
  <si>
    <t>Técnico superior en Sistemas de Regulación y Control Automáticos (RD_619/1995): Sistemas de control secuencial</t>
  </si>
  <si>
    <t>RD_M_1581/2011_0960</t>
  </si>
  <si>
    <t>RD_M_1581/2011_0961</t>
  </si>
  <si>
    <t>Técnico superior en Sistemas de Regulación y Control Automáticos (RD_619/1995): Sistemas de medida y regulación</t>
  </si>
  <si>
    <t>RD_M_1581/2011_0962</t>
  </si>
  <si>
    <t>Técnico superior en Sistemas de Regulación y Control Automáticos (RD_619/1995): Sistemas electrotécnicos de potencia</t>
  </si>
  <si>
    <t>Técnico superior en Sistemas de Regulación y Control Automáticos (RD_619/1995): Gestión del desarrrollo de sistemas automáticos</t>
  </si>
  <si>
    <t>Técnico superior en Sistemas de Regulación y Control Automáticos (RD_619/1995): Informática industrial</t>
  </si>
  <si>
    <t>RD_M_1581/2011_0965</t>
  </si>
  <si>
    <t>Técnico superior en Sistemas de Regulación y Control Automáticos (RD_619/1995): Desarrollo de sistemas secuenciales + Desarrollo de sistemas de medida y regulación</t>
  </si>
  <si>
    <t>RD_M_1581/2011_0967</t>
  </si>
  <si>
    <t>Técnico superior en Sistemas de Regulación y Control Automáticos (RD_619/1995): Comunicaciones industriales</t>
  </si>
  <si>
    <t>RD_M_1581/2011_0968</t>
  </si>
  <si>
    <t>RD_M_1582/2011_0647</t>
  </si>
  <si>
    <t>Técnico superior en Secretariado (RD_1658/1994): Elementos de derecho</t>
  </si>
  <si>
    <t>RD_M_1582/2011_0649</t>
  </si>
  <si>
    <t>Técnico superior en Secretariado (RD_1658/1994): Gestión de datos + Elaboración y presentación de documentos e información</t>
  </si>
  <si>
    <t>RD_M_1582/2011_0651</t>
  </si>
  <si>
    <t>Técnico superior en Secretariado (RD_1658/1994): Comunicación y relaciones profesionales</t>
  </si>
  <si>
    <t>RD_M_1582/2011_0652</t>
  </si>
  <si>
    <t>Técnico superior en Administración y Finanzas (RD_1659/1994): Administración Pública</t>
  </si>
  <si>
    <t>RD_M_1582/2011_0653</t>
  </si>
  <si>
    <t>Técnico superior en Administración y Finanzas (RD_1659/1994): Aplicaciones informáticas y operatoria de teclados</t>
  </si>
  <si>
    <t>RD_M_1582/2011_0662</t>
  </si>
  <si>
    <t>Técnico superior en Secretariado (RD_1658/1994): Organización del servicio y trabajos de secretariado</t>
  </si>
  <si>
    <t>RD_M_1583/2011_1090</t>
  </si>
  <si>
    <t>Técnico superior en Realización de Audiovisuales y Espectáculos (RD_2035/1995): Realización en multimedia</t>
  </si>
  <si>
    <t>RD_M_1584/2011_0647</t>
  </si>
  <si>
    <t>RD_M_1584/2011_0649</t>
  </si>
  <si>
    <t>RD_M_1584/2011_0651</t>
  </si>
  <si>
    <t>RD_M_1584/2011_0652</t>
  </si>
  <si>
    <t>Técnico superior en Administración y Finanzas (RD_1659/1994): Recursos humanos</t>
  </si>
  <si>
    <t>RD_M_1584/2011_0653</t>
  </si>
  <si>
    <t>Técnico superior en Administración y Finanzas (RD_1659/1994): Gestión financiera + Productos y servicios financieros y de seguros</t>
  </si>
  <si>
    <t>RD_M_1584/2011_0654</t>
  </si>
  <si>
    <t>Técnico superior en Administración y Finanzas (RD_1659/1994): Contabilidad y fiscalidad</t>
  </si>
  <si>
    <t>Técnico superior en Administración y Finanzas (RD_1659/1994): Gestión de aprovisionamiento</t>
  </si>
  <si>
    <t>RD_M_1584/2011_0656</t>
  </si>
  <si>
    <t>Técnico superior en Administración y Finanzas (RD_1659/1994): Proyecto empresarial</t>
  </si>
  <si>
    <t>RD_M_1585/2011_1015</t>
  </si>
  <si>
    <t>Técnico Superior en Producción Acuícola (RD_723/1994): Producción de cultivos auxiliares</t>
  </si>
  <si>
    <t>RD_M_1585/2011_1016</t>
  </si>
  <si>
    <t>Técnico Superior en Producción Acuícola (RD_723/1994): Cultivo de peces</t>
  </si>
  <si>
    <t>RD_M_1585/2011_1017</t>
  </si>
  <si>
    <t>Técnico Superior en Producción Acuícola (RD_723/1994): Cultivos de moluscos</t>
  </si>
  <si>
    <t>RD_M_1585/2011_1018</t>
  </si>
  <si>
    <t>Técnico Superior en Producción Acuícola (RD_723/1994): Cultivo de crustáceos</t>
  </si>
  <si>
    <t>Técnico Superior en Producción Acuícola (RD_723/1994): Organización del proceso productivo acuícola</t>
  </si>
  <si>
    <t>RD_M_1585/2012_1274</t>
  </si>
  <si>
    <t>Técnico superior en Gestión y Organización de Empresas Agropecuarias (RD_1711/1996): Producción ganadera</t>
  </si>
  <si>
    <t>RD_M_1585/2012_1275</t>
  </si>
  <si>
    <t>RD_M_1585/2012_1278</t>
  </si>
  <si>
    <t>Técnico superior en Gestión y Organización de Empresas Agropecuarias (RD_1711/1996): Mecanización e instalaciones en una empresa agraria</t>
  </si>
  <si>
    <t>Técnico superior en Gestión y Organización de los Recursos Naturales y Paisajísticos (RD_1712/1996): Mecanización e instalaciones en una empresa agraria</t>
  </si>
  <si>
    <t>RD_M_1586/2011_0866</t>
  </si>
  <si>
    <t>Técnico en Preimpresión en Artes Graficas (RD_2424/1994): Tratamiento de textos</t>
  </si>
  <si>
    <t>Técnico en Preimpresión en Artes Graficas (RD_2424/1994): Tratamiento de imágenes</t>
  </si>
  <si>
    <t>RD_M_1586/2011_0870</t>
  </si>
  <si>
    <t>Técnico en Preimpresión en Artes Graficas (RD_2424/1994): Ensamblado y filmado de texto e imágenes</t>
  </si>
  <si>
    <t>RD_M_1586/2011_0871</t>
  </si>
  <si>
    <t>Técnico en Preimpresión en Artes Graficas (RD_2424/1994): Materias primas en Artes Gráficas</t>
  </si>
  <si>
    <t>Técnico en Encuadernación y Manipulados de Papel y Cartón (RD_2426/1994): Materias primas en artes gráficas</t>
  </si>
  <si>
    <t>RD_M_1588/2011_0636</t>
  </si>
  <si>
    <t>Técnico en Peluquería (RD_629/1995): Técnicas básicas de manicura y pedicura</t>
  </si>
  <si>
    <t>Técnico en Estética Personal Decorativa (RD_630/1995): Escultura de uñas y estética de manos y pies</t>
  </si>
  <si>
    <t>RD_M_1588/2011_0640</t>
  </si>
  <si>
    <t>Técnico en Peluquería (RD_629/1995): Anatomía y fisiología humanas básicas + Higiene, desinfección y esterilización aplicadas a peluquería</t>
  </si>
  <si>
    <t>Técnico en Estética Personal Decorativa (RD_630/1995): Anatomía y fisiología humana básicas</t>
  </si>
  <si>
    <t>Técnico en Estética Personal Decorativa (RD_630/1995): Promoción y venta de productos y servicios en el ámbito de la estética personal</t>
  </si>
  <si>
    <t>RD_M_1588/2011_0842</t>
  </si>
  <si>
    <t>Técnico en Peluquería (RD_629/1995): Peinados, acabados y recogidos</t>
  </si>
  <si>
    <t>RD_M_1588/2011_0843</t>
  </si>
  <si>
    <t>Técnico en Peluquería (RD_629/1995): Cambios de color en el cabello</t>
  </si>
  <si>
    <t>RD_M_1588/2011_0844</t>
  </si>
  <si>
    <t>Técnico en Peluquería (RD_629/1995): Cosmetología aplicada a peluquería</t>
  </si>
  <si>
    <t>RD_M_1588/2011_0845</t>
  </si>
  <si>
    <t>Técnico en Peluquería (RD_629/1995): Corte del cabello y técnicas complementarias</t>
  </si>
  <si>
    <t>RD_M_1588/2011_0846</t>
  </si>
  <si>
    <t>Técnico en Peluquería (RD_629/1995): Tratamientos capilares</t>
  </si>
  <si>
    <t>RD_M_1588/2011_0849</t>
  </si>
  <si>
    <t>Técnico en Soldadura y Calderería (RD_1657/1994): Ciclo completo</t>
  </si>
  <si>
    <t>Técnico en Montaje y Mantenimiento de Instalaciones de Frío, Climatización y Producción de Calor (RD_2046/1995): Electrotecnia</t>
  </si>
  <si>
    <t>Técnico en Mantenimiento Ferroviario (RD_2047/1995): Electrotecnia</t>
  </si>
  <si>
    <t>Técnico en Instalación y Mantenimiento Electromecánico de Maquinaria y Conducción de Lineas (RD_2045/1995): Electrotecnia</t>
  </si>
  <si>
    <t>Técnico en Equipos e Instalaciones Electrotécnicas (RD_623/1995): Electrotecnia</t>
  </si>
  <si>
    <t>RD_M_1589/2011_0952</t>
  </si>
  <si>
    <t>Técnico en Mantenimiento Ferroviario (RD_2047/1995): Automatismos eléctricos, neumáticos e hidráulicos</t>
  </si>
  <si>
    <t>Técnico en Instalación y Mantenimiento Electromecánico de Maquinaria y Conducción de Lineas (RD_2045/1995): Automatismos eléctricos, neumáticos e hidráulicas</t>
  </si>
  <si>
    <t>RD_M_1589/2011_0953</t>
  </si>
  <si>
    <t>Técnico en Mantenimiento Ferroviario (RD_2047/1995): Montaje y mantenimiento mecánico</t>
  </si>
  <si>
    <t>Técnico en Instalación y Mantenimiento Electromecánico de Maquinaria y Conducción de Lineas (RD_2045/1995): Montaje y mantenimiento mecánico</t>
  </si>
  <si>
    <t>Técnico en Mantenimiento Ferroviario (RD_2047/1995): Montaje y mantenimiento eléctrico</t>
  </si>
  <si>
    <t>Técnico en Instalación y Mantenimiento Electromecánico de Maquinaria y Conducción de Lineas (RD_2045/1995): Montaje y mantenimiento eléctrico</t>
  </si>
  <si>
    <t>RD_M_1589/2011_0955</t>
  </si>
  <si>
    <t>Técnico en Instalación y Mantenimiento Electromecánico de Maquinaria y Conducción de Lineas (RD_2045/1995): Conducción y mantenimiento de líneas automatizadas</t>
  </si>
  <si>
    <t>RD_M_1590/2011_0877</t>
  </si>
  <si>
    <t>Técnico en Impresión en Artes Graficas (RD_2425/1994): Procesos de impresión en offset</t>
  </si>
  <si>
    <t>RD_M_1590/2011_0878</t>
  </si>
  <si>
    <t>RD_M_1590/2011_0882</t>
  </si>
  <si>
    <t>Técnico en Impresión en Artes Graficas (RD_2425/1994): Materias primas en artes gráficas + Procesos de impresión en offset</t>
  </si>
  <si>
    <t>Técnico en Producción de Hilatura y Tejeduría de Calada (RD_739/1994): Elementos, sistemas e instalaciones de máquinas textiles</t>
  </si>
  <si>
    <t>Técnico en Producción de Tejidos de Punto (RD_740/1994): Elementos, sistemas e instalaciones de máquinas textiles</t>
  </si>
  <si>
    <t>RD_M_1591/2011_0275</t>
  </si>
  <si>
    <t>Técnico en Calzado y Marroquinería (RD_742/1994): Materias textiles</t>
  </si>
  <si>
    <t>Técnico en Operaciones de Ennoblecimiento Textil (RD_741/1994): Materias Textiles</t>
  </si>
  <si>
    <t>Técnico en Producción de Hilatura y Tejeduría de Calada (RD_739/1994): Materias textiles</t>
  </si>
  <si>
    <t>Técnico en Producción de Tejidos de Punto (RD_740/1994): Materias textiles</t>
  </si>
  <si>
    <t>RD_M_1591/2011_1040</t>
  </si>
  <si>
    <t>Técnico en Operaciones de Ennoblecimiento Textil (RD_741/1994): Tratamientos previos al Ennoblecimiento</t>
  </si>
  <si>
    <t>RD_M_1591/2011_1041</t>
  </si>
  <si>
    <t>Técnico en Operaciones de Ennoblecimiento Textil (RD_741/1994): Aprestos y Acabados</t>
  </si>
  <si>
    <t>RD_M_1591/2011_1042</t>
  </si>
  <si>
    <t>Técnico en Operaciones de Ennoblecimiento Textil (RD_741/1994): Tintura</t>
  </si>
  <si>
    <t>RD_M_1591/2011_1043</t>
  </si>
  <si>
    <t>Técnico en Operaciones de Ennoblecimiento Textil (RD_741/1994): Estampación</t>
  </si>
  <si>
    <t>RD_M_1591/2011_1044</t>
  </si>
  <si>
    <t>Técnico en Producción de Hilatura y Tejeduría de Calada (RD_739/1994): Producción de hilatura y telas no tejidas</t>
  </si>
  <si>
    <t>RD_M_1591/2011_1045</t>
  </si>
  <si>
    <t>Técnico en Producción de Hilatura y Tejeduría de Calada (RD_739/1994): Producción de tejeduría de calada</t>
  </si>
  <si>
    <t>RD_M_1591/2011_1046</t>
  </si>
  <si>
    <t>Técnico en Producción de Tejidos de Punto (RD_740/1994): Producción de tejidos de punto por recogida</t>
  </si>
  <si>
    <t>RD_M_1591/2011_1047</t>
  </si>
  <si>
    <t>Técnico en Producción de Tejidos de Punto (RD_740/1994): Producción de tejidos de punto por urdimbre</t>
  </si>
  <si>
    <t>RD_M_1593/2011_0210</t>
  </si>
  <si>
    <t>Técnico en Atención Sociosanitaria (RD_496/2003): Planificación y control de las intervenciones</t>
  </si>
  <si>
    <t>RD_M_1593/2011_0212</t>
  </si>
  <si>
    <t>Técnico en Atención Sociosanitaria (RD_496/2003): Necesidades físicas y psicosociales de colectivos específicos</t>
  </si>
  <si>
    <t>RD_M_1593/2011_0213</t>
  </si>
  <si>
    <t>Técnico en Atención Sociosanitaria (RD_496/2003): Atención y apoyo psicosocial</t>
  </si>
  <si>
    <t>Técnico en Atención Sociosanitaria (RD_496/2003): Comunicación alternativa</t>
  </si>
  <si>
    <t>RD_M_1593/2011_0215</t>
  </si>
  <si>
    <t>Técnico en Atención Sociosanitaria (RD_496/2003): Apoyo domiciliario</t>
  </si>
  <si>
    <t>RD_M_1593/2011_0216</t>
  </si>
  <si>
    <t>Técnico en Atención Sociosanitaria (RD_496/2003): Atención sanitaria</t>
  </si>
  <si>
    <t>RD_M_1593/2011_0217</t>
  </si>
  <si>
    <t>Técnico en Atención Sociosanitaria (RD_496/2003): Higiene</t>
  </si>
  <si>
    <t>RD_M_1629/2009_0369</t>
  </si>
  <si>
    <t>Técnico superior en Administración de Sistemas Informáticos (RD_1660/1994): Sistemas informáticos monousuario y multiusuario</t>
  </si>
  <si>
    <t>RD_M_1629/2009_0370</t>
  </si>
  <si>
    <t>Técnico superior en Administración de Sistemas Informáticos (RD_1660/1994): Redes de área local</t>
  </si>
  <si>
    <t>RD_M_1629/2009_0372</t>
  </si>
  <si>
    <t>Técnico superior en Administración de Sistemas Informáticos (RD_1660/1994): Sistemas gestores de bases de datos</t>
  </si>
  <si>
    <t>Técnico superior en Desarrollo de Aplicaciones Informáticas (RD_1661/1994): Desarrollo de aplicaciones en entornos de cuarta generación y con herramientas CASE</t>
  </si>
  <si>
    <t>RD_M_1629/2009_0377</t>
  </si>
  <si>
    <t>RD_M_1630/2009_0245</t>
  </si>
  <si>
    <t>Técnico superior en Desarrollo de Proyectos Mecánicos (RD_2416/1994): Representación gráfica en fabricación mecánica</t>
  </si>
  <si>
    <t>Técnico superior en Construcciones Metálicas (RD_1656/1994): Representación en construcciones metálicas</t>
  </si>
  <si>
    <t>RD_M_1630/2009_0427</t>
  </si>
  <si>
    <t>Técnico superior en Desarrollo de Proyectos Mecánicos (RD_2416/1994): Desarrollo de productos mecánicos</t>
  </si>
  <si>
    <t>RD_M_1630/2009_0428</t>
  </si>
  <si>
    <t>Técnico superior en Desarrollo de Proyectos Mecánicos (RD_2416/1994): Matrices, moldes y utillajes</t>
  </si>
  <si>
    <t>RD_M_1630/2009_0429</t>
  </si>
  <si>
    <t>RD_M_1630/2009_0431</t>
  </si>
  <si>
    <t>Técnico superior en Desarrollo de Proyectos Mecánicos (RD_2416/1994): Automatización de la fabricación</t>
  </si>
  <si>
    <t>RD_M_1630/2009_0432</t>
  </si>
  <si>
    <t>Técnico superior en Desarrollo de Proyectos Mecánicos (RD_2416/1994): Técnicas de fabricación mecánica</t>
  </si>
  <si>
    <t>RD_M_1631/2009_0437</t>
  </si>
  <si>
    <t>Técnico en Gestión Administrativa (RD_1662/1994): Comunicación, archivo de la información y operatoria de teclados</t>
  </si>
  <si>
    <t>RD_M_1631/2009_0438</t>
  </si>
  <si>
    <t>Técnico en Gestión Administrativa (RD_1662/1994): Gestión administrativa de compraventa</t>
  </si>
  <si>
    <t>RD_M_1631/2009_0439</t>
  </si>
  <si>
    <t>Técnico en Gestión Administrativa (RD_1662/1994): Principios de gestión administrativa pública</t>
  </si>
  <si>
    <t>RD_M_1631/2009_0440</t>
  </si>
  <si>
    <t>Técnico en Gestión Administrativa (RD_1662/1994): Aplicaciones informáticas</t>
  </si>
  <si>
    <t>RD_M_1631/2009_0441</t>
  </si>
  <si>
    <t>Técnico en Gestión Administrativa (RD_1662/1994): Contabilidad general y tesorería</t>
  </si>
  <si>
    <t>RD_M_1631/2009_0442</t>
  </si>
  <si>
    <t>Técnico en Gestión Administrativa (RD_1662/1994): Gestión administrativa de personal</t>
  </si>
  <si>
    <t>RD_M_1631/2009_0443</t>
  </si>
  <si>
    <t>RD_M_1631/2009_0448</t>
  </si>
  <si>
    <t>Técnico en Gestión Administrativa (RD_1662/1994): Productos y servicios financieros y de seguros, básicos</t>
  </si>
  <si>
    <t>RD_M_1632/2009_0237</t>
  </si>
  <si>
    <t>Técnico en Equipos e Instalaciones Electrotécnicas (RD_623/1995): Instalaciones singulares en viviendas y edificios</t>
  </si>
  <si>
    <t>RD_M_1632/2009_0238</t>
  </si>
  <si>
    <t>Técnico en Equipos e Instalaciones Electrotécnicas (RD_623/1995): Instalaciones automatizadas en viviendas y edificios</t>
  </si>
  <si>
    <t>Técnico en Equipos Electrónicos de Consumo (RD_624/1995): Electrónica general + Electrónica digital y microprogramable</t>
  </si>
  <si>
    <t>Técnico superior en Desarrollo de Productos Electrónicos (RD_620/1995): Ciclo completo</t>
  </si>
  <si>
    <t>Técnico en Equipos Electrónicos de Consumo (RD_624/1995): Sistemas electrónicos de información</t>
  </si>
  <si>
    <t>Técnico en Explotación de Sistemas Informáticos (RD_497/2003): Ciclo completo</t>
  </si>
  <si>
    <t>Técnico en Equipos e Instalaciones Electrotécnicas (RD_623/1995): Instalaciones eléctricas de interior</t>
  </si>
  <si>
    <t>Técnico en Equipos Electrónicos de Consumo (RD_624/1995): Instalaciones básicas</t>
  </si>
  <si>
    <t>RD_M_1633/2009_0404</t>
  </si>
  <si>
    <t>RD_M_1633/2009_0408</t>
  </si>
  <si>
    <t>RD_M_1634/2009_0404</t>
  </si>
  <si>
    <t>RD_M_1634/2009_0405</t>
  </si>
  <si>
    <t>Técnico en Explotaciones Agrarias Extensivas (RD_1715/1996): Manejo racional del ganado + Producción ganadera ligada a la tierra</t>
  </si>
  <si>
    <t>Técnico en Explotaciones Ganaderas (RD_1717/1996): Manejo racional del ganado + Producción ganadera intensiva</t>
  </si>
  <si>
    <t>RD_M_1634/2009_0408</t>
  </si>
  <si>
    <t>RD_M_1634/2009_0409</t>
  </si>
  <si>
    <t>RD_M_1634/2009_0475</t>
  </si>
  <si>
    <t>Técnico en Explotaciones Agrarias Extensivas (RD_1715/1996): Cultivos arbóreos y arbustivos + Cultivos herbáceos</t>
  </si>
  <si>
    <t>Técnico en Explotaciones Agrícolas Intensivas (RD_1716/1996): Cultivos hortícolas + Cultivos frutícolas</t>
  </si>
  <si>
    <t>RD_M_1634/2009_0476</t>
  </si>
  <si>
    <t>RD_M_1634/2009_0477</t>
  </si>
  <si>
    <t>RD_M_1634/2009_0478</t>
  </si>
  <si>
    <t>RD_M_1634/2009_0479</t>
  </si>
  <si>
    <t>RD_M_1679/2011_0276</t>
  </si>
  <si>
    <t>Técnico Superior en Patronaje (RD_738/1994): Materias, Productos y Ensayos de Calidad Textil + Estudio y Calidad de las Pieles</t>
  </si>
  <si>
    <t>Técnico superior en Procesos de Confección Industrial (RD_737/1994): Materias, productos y ensayos de calidad textil + Estudio y calidad de las pieles</t>
  </si>
  <si>
    <t>RD_M_1680/2011_0902</t>
  </si>
  <si>
    <t>Técnico superior en Realización de Audiovisuales y Espectáculos (RD_2035/1995): Realización en cine y vídeo</t>
  </si>
  <si>
    <t>RD_M_1680/2011_0903</t>
  </si>
  <si>
    <t>RD_M_1680/2011_0904</t>
  </si>
  <si>
    <t>Técnico superior en Realización de Audiovisuales y Espectáculos (RD_2035/1995): Realización en televisión</t>
  </si>
  <si>
    <t>RD_M_1680/2011_0905</t>
  </si>
  <si>
    <t>RD_M_1680/2011_0906</t>
  </si>
  <si>
    <t>Técnico superior en Realización de Audiovisuales y Espectáculos (RD_2035/1995): Montaje-edición y postproducción de audiovisuales</t>
  </si>
  <si>
    <t>RD_M_1680/2011_0907</t>
  </si>
  <si>
    <t>Técnico superior en Realización de Audiovisuales y Espectáculos (RD_2035/1995): Sistemas técnicos de realización</t>
  </si>
  <si>
    <t>Técnico Superior en Producción de Audiovisuales, Radio y Espectáculos (RD_2034/1995): Medios técnicos audiovisuales</t>
  </si>
  <si>
    <t>RD_M_1681/2011_0915</t>
  </si>
  <si>
    <t>Técnico Superior en Producción de Audiovisuales, Radio y Espectáculos (RD_2034/1995): Producción de cine y vídeo + Producción de televisión</t>
  </si>
  <si>
    <t>RD_M_1681/2011_0916</t>
  </si>
  <si>
    <t>Técnico Superior en Producción de Audiovisuales, Radio y Espectáculos (RD_2034/1995): Producción de cine y vídeo</t>
  </si>
  <si>
    <t>RD_M_1681/2011_0917</t>
  </si>
  <si>
    <t>Técnico Superior en Producción de Audiovisuales, Radio y Espectáculos (RD_2034/1995): Producción de televisión + Producción de radio</t>
  </si>
  <si>
    <t>RD_M_1681/2011_0918</t>
  </si>
  <si>
    <t>Técnico Superior en Producción de Audiovisuales, Radio y Espectáculos (RD_2034/1995): Producción de espectáculos</t>
  </si>
  <si>
    <t>RD_M_1681/2011_0919</t>
  </si>
  <si>
    <t>Técnico Superior en Producción de Audiovisuales, Radio y Espectáculos (RD_2034/1995): Lenguajes audiovisuales</t>
  </si>
  <si>
    <t>RD_M_1681/2011_0921</t>
  </si>
  <si>
    <t>Técnico Superior en Producción de Audiovisuales, Radio y Espectáculos (RD_2034/1995): Gestión y promoción de producciones audiovisuales, radiofónicas y espectáculos</t>
  </si>
  <si>
    <t>RD_M_1682/2011_1098</t>
  </si>
  <si>
    <t>Técnico Superior en Sonido (RD_2036/1995): Sonido en producciones audiovisuales</t>
  </si>
  <si>
    <t>RD_M_1682/2011_1100</t>
  </si>
  <si>
    <t>Técnico Superior en Sonido (RD_2036/1995): Grabaciones musicales</t>
  </si>
  <si>
    <t>RD_M_1682/2011_1101</t>
  </si>
  <si>
    <t>Técnico Superior en Sonido (RD_2036/1995): Sonorización industrial y de espectáculos</t>
  </si>
  <si>
    <t>RD_M_1682/2011_1102</t>
  </si>
  <si>
    <t>Técnico Superior en Sonido (RD_2036/1995): Posproducción de Audio</t>
  </si>
  <si>
    <t>RD_M_1682/2011_1104</t>
  </si>
  <si>
    <t>Técnico Superior en Sonido (RD_2036/1995): Comunicación audiovisual y expresión sonora</t>
  </si>
  <si>
    <t>RD_M_1683/2011_1214</t>
  </si>
  <si>
    <t>Técnico en Encuadernación y Manipulados de Papel y Cartón (RD_2426/1994): Procesos de encuadernación y manipulados de papel + Materias primas en artes gráficas</t>
  </si>
  <si>
    <t>RD_M_1683/2011_1217</t>
  </si>
  <si>
    <t>Técnico en Encuadernación y Manipulados de Papel y Cartón (RD_2426/1994): Procesos de manipulados de cartón</t>
  </si>
  <si>
    <t>RD_M_1684/2011_0344</t>
  </si>
  <si>
    <t>RD_M_1684/2011_1123</t>
  </si>
  <si>
    <t>Técnico Superior en Animación Socio-cultural (RD_2058/1995): Animación de ocio y tiempo libre</t>
  </si>
  <si>
    <t>RD_M_1684/2011_1125</t>
  </si>
  <si>
    <t>Técnico Superior en Animación Socio-cultural (RD_2058/1995): Animación cultural</t>
  </si>
  <si>
    <t>Técnico superior en Animación Turística (RD_274/2000): Actividades y recursos culturales</t>
  </si>
  <si>
    <t>RD_M_1684/2011_1126</t>
  </si>
  <si>
    <t>Técnico superior en Animación Turística (RD_274/2000): Técnicas de comunicación para animación + Animación en el ámbito turístico</t>
  </si>
  <si>
    <t>RD_M_1684/2011_1128</t>
  </si>
  <si>
    <t>Técnico Superior en Animación Socio-cultural (RD_2058/1995): Desarrollo comunitario</t>
  </si>
  <si>
    <t>RD_M_1685/2007_0199</t>
  </si>
  <si>
    <t>Técnico superior en Audioprótesis (RD_62/2001): Características anatomosensoriales auditivas</t>
  </si>
  <si>
    <t>RD_M_1685/2007_0200</t>
  </si>
  <si>
    <t>Técnico superior en Audioprótesis (RD_62/2001): Electrónica aplicada a audiprótesis</t>
  </si>
  <si>
    <t>RD_M_1685/2007_0201</t>
  </si>
  <si>
    <t>Técnico superior en Audioprótesis (RD_62/2001): Acústica</t>
  </si>
  <si>
    <t>RD_M_1685/2007_0202</t>
  </si>
  <si>
    <t>Técnico superior en Audioprótesis (RD_62/2001): Elaboración y reparación de audioprótesis</t>
  </si>
  <si>
    <t>RD_M_1685/2007_0203</t>
  </si>
  <si>
    <t>Técnico superior en Audioprótesis (RD_62/2001): Elección y ajuste de prótesis auditivas</t>
  </si>
  <si>
    <t>RD_M_1685/2011_1182</t>
  </si>
  <si>
    <t>Técnico superior en Asesoría de Imagen Personal (RD_627/1995): Asesoría de belleza</t>
  </si>
  <si>
    <t>RD_M_1685/2011_1183</t>
  </si>
  <si>
    <t>Técnico superior en Asesoría de Imagen Personal (RD_627/1995): Estilismo en el vestir</t>
  </si>
  <si>
    <t>RD_M_1685/2011_1184</t>
  </si>
  <si>
    <t>Técnico superior en Asesoría de Imagen Personal (RD_627/1995): Técnicas de embellecimiento personal</t>
  </si>
  <si>
    <t>RD_M_1685/2011_1185</t>
  </si>
  <si>
    <t>Técnico superior en Asesoría de Imagen Personal (RD_627/1995): Protocolo y usos sociales</t>
  </si>
  <si>
    <t>RD_M_1685/2011_1186</t>
  </si>
  <si>
    <t>RD_M_1685/2011_1187</t>
  </si>
  <si>
    <t>RD_M_1685/2011_1188</t>
  </si>
  <si>
    <t>Técnico superior en Asesoría de Imagen Personal (RD_627/1995): Imagen personal y comunicación</t>
  </si>
  <si>
    <t>RD_M_1686/2007_0171</t>
  </si>
  <si>
    <t>Técnico superior en Alojamiento (RD_2216/1993): Recepción y atención al cliente</t>
  </si>
  <si>
    <t>RD_M_1686/2007_0174</t>
  </si>
  <si>
    <t>Técnico superior en Alojamiento (RD_2216/1993): Organización y control del alojamiento</t>
  </si>
  <si>
    <t>RD_M_1686/2007_0175</t>
  </si>
  <si>
    <t>Técnico superior en Alojamiento (RD_2216/1993): Regiduría de pisos</t>
  </si>
  <si>
    <t>RD_M_1686/2007_0176</t>
  </si>
  <si>
    <t>RD_M_1686/2007_0177</t>
  </si>
  <si>
    <t>Técnico superior en Imagen (RD_2033/1995): Imagen audiovisual</t>
  </si>
  <si>
    <t>RD_M_1686/2011_1159</t>
  </si>
  <si>
    <t>RD_M_1686/2011_1160</t>
  </si>
  <si>
    <t>Técnico superior en Imagen (RD_2033/1995): Iluminación de espacios escénicos</t>
  </si>
  <si>
    <t>RD_M_1686/2011_1161</t>
  </si>
  <si>
    <t>RD_M_1686/2011_1162</t>
  </si>
  <si>
    <t>RD_M_1686/2011_1163</t>
  </si>
  <si>
    <t>Técnico superior en Imagen (RD_2033/1995): Imagen fotográfica</t>
  </si>
  <si>
    <t>RD_M_1686/2011_1164</t>
  </si>
  <si>
    <t>Técnico superior en Imagen (RD_2033/1995): Aplicaciones fotográficas</t>
  </si>
  <si>
    <t>RD_M_1686/2011_1165</t>
  </si>
  <si>
    <t>RD_M_1686/2011_1167</t>
  </si>
  <si>
    <t>RD_M_1687/2007_0002</t>
  </si>
  <si>
    <t>Técnico Superior en Producción por Mecanizado (RD_2417/1994): Programación de máquinas de control numérico para fabricación mecánica</t>
  </si>
  <si>
    <t>Técnico Superior en Producción por Mecanizado (RD_2417/1994): Definición de procesos de mecanizado, conformado y montaje</t>
  </si>
  <si>
    <t>RD_M_1687/2007_0160</t>
  </si>
  <si>
    <t>RD_M_1687/2007_0161</t>
  </si>
  <si>
    <t>Técnico Superior en Producción por Mecanizado (RD_2417/1994): Programación de sistemas automáticos de fabricación mecánica</t>
  </si>
  <si>
    <t>Técnico superior en producción por fundición y Pulvimetalurgia (RD_2418/1994): Programación de sistemas automáticos de fabricación mecánica</t>
  </si>
  <si>
    <t>Técnico Superior en Producción por Mecanizado (RD_2417/1994): Programación de la producción en fabricación mecánica</t>
  </si>
  <si>
    <t>Técnico superior en Construcciones Metálicas (RD_1656/1994): Definición de procesos en construcciones metálicas</t>
  </si>
  <si>
    <t>Técnico superior en producción por fundición y Pulvimetalurgia (RD_2418/1994): Programación de la producción en fabricación mecánica</t>
  </si>
  <si>
    <t>Técnico Superior en Desarrollo y Fabricación de Productos Cerámicos (RD_2038/1995): Organización de la producción en industrias cerámicas</t>
  </si>
  <si>
    <t>RD_M_1687/2007_0164</t>
  </si>
  <si>
    <t>Técnico Superior en Producción por Mecanizado (RD_2417/1994): Ejecución de procesos de mecanizado, conformado y montaje</t>
  </si>
  <si>
    <t>RD_M_1687/2007_0165</t>
  </si>
  <si>
    <t>Técnico Superior en Producción por Mecanizado (RD_2417/1994): Control de calidad en fabricación mecánica</t>
  </si>
  <si>
    <t>Técnico superior en Construcciones Metálicas (RD_1656/1994): Gestión de la calidad en construcciones metálicas</t>
  </si>
  <si>
    <t>Técnico superior en producción por fundición y Pulvimetalurgia (RD_2418/1994): Control de calidad en fabricación mecánica</t>
  </si>
  <si>
    <t>Técnico Superior en Desarrollo y Fabricación de Productos Cerámicos (RD_2038/1995): Gestión de calidad en industrias cerámicas</t>
  </si>
  <si>
    <t>RD_M_1687/2007_0166</t>
  </si>
  <si>
    <t>RD_M_1687/2011_0821</t>
  </si>
  <si>
    <t>RD_M_1687/2011_0854</t>
  </si>
  <si>
    <t>Técnico superior en Prótesis Dentales (RD_541/1995): Diseño de prótesis y aparatos de ortodoncia</t>
  </si>
  <si>
    <t>RD_M_1687/2011_0855</t>
  </si>
  <si>
    <t>Técnico superior en Prótesis Dentales (RD_541/1995): Prótesis removible de resina</t>
  </si>
  <si>
    <t>RD_M_1687/2011_0856</t>
  </si>
  <si>
    <t>Técnico superior en Prótesis Dentales (RD_541/1995): Ortodoncia</t>
  </si>
  <si>
    <t>RD_M_1687/2011_0857</t>
  </si>
  <si>
    <t>Técnico superior en Prótesis Dentales (RD_541/1995): Prótesis fija</t>
  </si>
  <si>
    <t>RD_M_1687/2011_0858</t>
  </si>
  <si>
    <t>Técnico superior en Prótesis Dentales (RD_541/1995): Prótesis parcial removible metálica</t>
  </si>
  <si>
    <t>RD_M_1687/2011_0859</t>
  </si>
  <si>
    <t>RD_M_1687/2011_0860</t>
  </si>
  <si>
    <t>Técnico superior en Prótesis Dentales (RD_541/1995): Prótesis mixtas, quirúrgicas e implantosoportadas</t>
  </si>
  <si>
    <t>RD_M_1687/2011_0863</t>
  </si>
  <si>
    <t>RD_M_1688/2011_1227</t>
  </si>
  <si>
    <t>RD_M_1688/2011_1228</t>
  </si>
  <si>
    <t>Técnico en Comercio (RD_1655/1994): Operaciones de almacenaje</t>
  </si>
  <si>
    <t>Técnico en Comercio (RD_1655/1994): Animación del punto de venta</t>
  </si>
  <si>
    <t>RD_M_1688/2011_1232</t>
  </si>
  <si>
    <t>Técnico en Comercio (RD_1655/1994): Operaciones de venta</t>
  </si>
  <si>
    <t>RD_M_1689/2007_0100</t>
  </si>
  <si>
    <t>Técnico en Farmacia (RD_547/1995): Procedimientos administrativos y de control de existencias en establecimientos de farmacia</t>
  </si>
  <si>
    <t>RD_M_1689/2007_0101</t>
  </si>
  <si>
    <t>Técnico en Farmacia (RD_547/1995): Dispensación y venta de productos farmacéuticos y parafarmacéuticos</t>
  </si>
  <si>
    <t>RD_M_1689/2007_0102</t>
  </si>
  <si>
    <t>Técnico en Laboratorio (RD_817/1993): Ciclo completo</t>
  </si>
  <si>
    <t>Técnico superior en Laboratorio de Diagnóstico Clínico (RD_539/1995): Recogida, preparación y conservación de muestras biológicas humanas + Fundamentos y técnicas de análisis bioquímicos</t>
  </si>
  <si>
    <t>RD_M_1689/2007_0104</t>
  </si>
  <si>
    <t>Técnico en Farmacia (RD_547/1995): Elaboración de preparados farmacéuticos y parafarmacéuticos en establecimientos de farmacia</t>
  </si>
  <si>
    <t>RD_M_1689/2007_0105</t>
  </si>
  <si>
    <t>Técnico en Farmacia (RD_547/1995): Realización de análisis clínicos elementales + Promoción de la salud y apoyo psicológico a las personas</t>
  </si>
  <si>
    <t>Técnico en Cuidados Auxiliares de Enfermería (RD_546/1995): Promoción de la salud y apoyo psicológico al paciente</t>
  </si>
  <si>
    <t>RD_M_1689/2011_1194</t>
  </si>
  <si>
    <t>RD_M_1689/2011_1195</t>
  </si>
  <si>
    <t>Técnico en Acabados de Construcción (RD_2211/1993): Paneles prefabricados</t>
  </si>
  <si>
    <t>RD_M_1689/2011_1198</t>
  </si>
  <si>
    <t>Técnico en Acabados de Construcción (RD_2211/1993): Revestimientos en láminas</t>
  </si>
  <si>
    <t>RD_M_1689/2011_1199</t>
  </si>
  <si>
    <t>Técnico en Acabados de Construcción (RD_2211/1993): Pinturas y barnices</t>
  </si>
  <si>
    <t>RD_M_1689/2011_1200</t>
  </si>
  <si>
    <t>Técnico en Acabados de Construcción (RD_2211/1993): Organización de los trabajos de acabados de construcción</t>
  </si>
  <si>
    <t>RD_M_1690/2007_0045</t>
  </si>
  <si>
    <t>RD_M_1690/2007_0152</t>
  </si>
  <si>
    <t>Técnico en Servicios de Restaurante y Bar (RD_2221/1993): Bebidas + Técnicas básicas de cocina</t>
  </si>
  <si>
    <t>RD_M_1690/2007_0153</t>
  </si>
  <si>
    <t>Técnico en Servicios de Restaurante y Bar (RD_2221/1993): Técnicas de servicio y atención al cliente</t>
  </si>
  <si>
    <t>Técnico en Explotación de Sistemas Informáticos (RD_497/2003): Instalación y mantenimiento de equipos y sistemas informáticos</t>
  </si>
  <si>
    <t>Técnico superior en Administración de Sistemas Informáticos (RD_1660/1994): Ciclo completo</t>
  </si>
  <si>
    <t>Técnico en Explotación de Sistemas Informáticos (RD_497/2003): Sistemas operativos en entornos monousuario y multiusuario</t>
  </si>
  <si>
    <t>Técnico en Explotación de Sistemas Informáticos (RD_497/2003): Implantación y mantenimiento de aplicaciones ofimáticas y corporativas + Operaciones con bases de datos ofimáticas y corporativas</t>
  </si>
  <si>
    <t>RD_M_1691/2007_0224</t>
  </si>
  <si>
    <t>RD_M_1691/2007_0225</t>
  </si>
  <si>
    <t>Técnico en Explotación de Sistemas Informáticos (RD_497/2003): Instalación y mantenimiento de servicios de redes locales</t>
  </si>
  <si>
    <t>RD_M_1691/2007_0227</t>
  </si>
  <si>
    <t>Técnico en Explotación de Sistemas Informáticos (RD_497/2003): Instalación y mantenimiento de servicios de Internet</t>
  </si>
  <si>
    <t>RD_M_1691/2007_0228</t>
  </si>
  <si>
    <t>Técnico en Explotación de Sistemas Informáticos (RD_497/2003): Mantenimiento de portales de información</t>
  </si>
  <si>
    <t>RD_M_1691/2011_0798</t>
  </si>
  <si>
    <t>Técnico superior en Navegación, Pesca y Transporte Marítimo (RD_721/1994): Maniobra y carga del buque</t>
  </si>
  <si>
    <t>RD_M_1691/2011_0799</t>
  </si>
  <si>
    <t>Técnico superior en Navegación, Pesca y Transporte Marítimo (RD_721/1994): Gobierno del buque</t>
  </si>
  <si>
    <t>RD_M_1691/2011_0800</t>
  </si>
  <si>
    <t>RD_M_1691/2011_0802</t>
  </si>
  <si>
    <t>RD_M_1691/2011_0803</t>
  </si>
  <si>
    <t>Técnico superior en Navegación, Pesca y Transporte Marítimo (RD_721/1994): Derecho marítimo, legislación pesquera y administración</t>
  </si>
  <si>
    <t>RD_M_1691/2011_0805</t>
  </si>
  <si>
    <t>Técnico superior en Navegación, Pesca y Transporte Marítimo (RD_721/1994): Pesca marítima y biología de las especies de interés comercial</t>
  </si>
  <si>
    <t>RD_M_1692/2007_0006</t>
  </si>
  <si>
    <t>RD_M_1692/2007_0091</t>
  </si>
  <si>
    <t>Técnico en Soldadura y Calderería (RD_1657/1994): Trazado y conformado en contrucciones metálicas</t>
  </si>
  <si>
    <t>Técnico en Soldadura y Calderería (RD_1657/1994): Mecanizado en contrucciones metálicas</t>
  </si>
  <si>
    <t>RD_M_1692/2007_0093</t>
  </si>
  <si>
    <t>Técnico en Soldadura y Calderería (RD_1657/1994): Soldadura en atmósfera natural</t>
  </si>
  <si>
    <t>RD_M_1692/2007_0094</t>
  </si>
  <si>
    <t>Técnico en Soldadura y Calderería (RD_1657/1994): Soldadura en atmósfera protegida</t>
  </si>
  <si>
    <t>RD_M_1692/2007_0095</t>
  </si>
  <si>
    <t>Técnico superior en Construcciones Metálicas (RD_1656/1994): Desarrollo de proyectos en construcciones metálicas</t>
  </si>
  <si>
    <t>RD_M_174/2008_0165</t>
  </si>
  <si>
    <t>RD_M_174/2008_0245</t>
  </si>
  <si>
    <t>RD_M_174/2008_0246</t>
  </si>
  <si>
    <t>Técnico superior en Construcciones Metálicas (RD_1656/1994): Soluciones constructivas en construcciones metálicas + Desarrollo de proyectos en construcciones metálicas</t>
  </si>
  <si>
    <t>RD_M_174/2008_0247</t>
  </si>
  <si>
    <t>RD_M_174/2008_0248</t>
  </si>
  <si>
    <t>Técnico superior en Construcciones Metálicas (RD_1656/1994): Ejecución de procesos en construcciones metálicas</t>
  </si>
  <si>
    <t>RD_M_174/2008_0249</t>
  </si>
  <si>
    <t>RD_M_174/2013_1417</t>
  </si>
  <si>
    <t>Técnico superior en Diseño y Producción Editorial (RD_2422/1994): Materiales de producción en artes gráficas</t>
  </si>
  <si>
    <t>Técnico superior en producción en industrias de Artes Gráficas (RD_2423/1994): Materiales de producción en artes gráficas</t>
  </si>
  <si>
    <t>RD_M_174/2013_1478</t>
  </si>
  <si>
    <t>Técnico superior en producción en industrias de Artes Gráficas (RD_2423/1994): Procesos de preimpresión</t>
  </si>
  <si>
    <t>RD_M_174/2013_1479</t>
  </si>
  <si>
    <t>Técnico superior en Diseño y Producción Editorial (RD_2422/1994): Diseño gráfico</t>
  </si>
  <si>
    <t>RD_M_174/2013_1481</t>
  </si>
  <si>
    <t>Técnico superior en Diseño y Producción Editorial (RD_2422/1994): Organización de la producción en las industrias de artes gráficas</t>
  </si>
  <si>
    <t>Técnico superior en producción en industrias de Artes Gráficas (RD_2423/1994): Organización de la producción en las industrias de artes gráficas</t>
  </si>
  <si>
    <t>RD_M_174/2013_1482</t>
  </si>
  <si>
    <t>Técnico superior en Diseño y Producción Editorial (RD_2422/1994): Producción editorial</t>
  </si>
  <si>
    <t>RD_M_175/2008_0185</t>
  </si>
  <si>
    <t>Técnico superior en industrias de proceso químico (RD_808/1993): Organización y gestión en industrias de procesos + Control de calidad en la industria química</t>
  </si>
  <si>
    <t>Técnico superior en industrias de proceso de pasta y papel (RD_809/1993): Organización y gestión en industrias de procesos + Control de calidad en la industria papelera</t>
  </si>
  <si>
    <t>Técnico superior en fabricación de productos farmacéuticos y afines (RD_810/1993): Organización y gestión en industrias de procesos</t>
  </si>
  <si>
    <t>RD_M_175/2008_0186</t>
  </si>
  <si>
    <t>Técnico superior en industrias de proceso químico (RD_808/1993): Fluidodinámica y termotecnia en industrias de procesos + Proceso químico</t>
  </si>
  <si>
    <t>Técnico superior en industrias de proceso de pasta y papel (RD_809/1993): Proceso de pasta y papel</t>
  </si>
  <si>
    <t>RD_M_175/2008_0187</t>
  </si>
  <si>
    <t>Técnico superior en industrias de proceso químico (RD_808/1993): Fluidodinámica y termotecnia en industrias de procesos</t>
  </si>
  <si>
    <t>Técnico superior en industrias de proceso de pasta y papel (RD_809/1993): Fluidodinámica y termotecnia en industrias de procesos</t>
  </si>
  <si>
    <t>RD_M_175/2008_0188</t>
  </si>
  <si>
    <t>Técnico superior en industrias de proceso químico (RD_808/1993): Proceso químico</t>
  </si>
  <si>
    <t>RD_M_175/2008_0189</t>
  </si>
  <si>
    <t>RD_M_175/2008_0190</t>
  </si>
  <si>
    <t>RD_M_175/2008_0194</t>
  </si>
  <si>
    <t>Técnico superior en industrias de proceso químico (RD_808/1993): Seguridad y ambiente químico</t>
  </si>
  <si>
    <t>Técnico superior en industrias de proceso de pasta y papel (RD_809/1993): Seguridad y ambiente químico</t>
  </si>
  <si>
    <t>Técnico superior en fabricación de productos farmacéuticos y afines (RD_810/1993): Seguridad y ambiente químico</t>
  </si>
  <si>
    <t>RD_M_175/2013_1417</t>
  </si>
  <si>
    <t>RD_M_175/2013_1478</t>
  </si>
  <si>
    <t>RD_M_175/2013_1479</t>
  </si>
  <si>
    <t>RD_M_175/2013_1538</t>
  </si>
  <si>
    <t>RD_M_175/2013_1540</t>
  </si>
  <si>
    <t>Técnico superior en producción en industrias de Artes Gráficas (RD_2423/1994): Procesos de impresión</t>
  </si>
  <si>
    <t>RD_M_175/2013_1541</t>
  </si>
  <si>
    <t>Técnico superior en producción en industrias de Artes Gráficas (RD_2423/1994): Procesos de postimpresión</t>
  </si>
  <si>
    <t>RD_M_176/2008_0254</t>
  </si>
  <si>
    <t>Técnico en Carrocería (RD_1650/1994): Elementos amovibles</t>
  </si>
  <si>
    <t>RD_M_176/2008_0255</t>
  </si>
  <si>
    <t>Técnico en Carrocería (RD_1650/1994): Elementos metálicos y sintéticos</t>
  </si>
  <si>
    <t>RD_M_176/2008_0256</t>
  </si>
  <si>
    <t>Técnico en Carrocería (RD_1650/1994): Elementos fijos</t>
  </si>
  <si>
    <t>RD_M_176/2008_0257</t>
  </si>
  <si>
    <t>Técnico en Carrocería (RD_1650/1994): Preparación de superficies</t>
  </si>
  <si>
    <t>RD_M_176/2008_0258</t>
  </si>
  <si>
    <t>Técnico en Carrocería (RD_1650/1994): Elementos estructurales del vehículo</t>
  </si>
  <si>
    <t>RD_M_176/2008_0259</t>
  </si>
  <si>
    <t>Técnico en Carrocería (RD_1650/1994): Embellecimiento de superficies</t>
  </si>
  <si>
    <t>Técnico en Equipos e Instalaciones Electrotécnicas (RD_623/1995): Automatismos y cuadros eléctricos</t>
  </si>
  <si>
    <t>RD_M_177/2008_0235</t>
  </si>
  <si>
    <t>RD_M_177/2008_0236</t>
  </si>
  <si>
    <t>Técnico en Equipos e Instalaciones Electrotécnicas (RD_623/1995): Instalaciones eléctricas de enlace y centros de transformación</t>
  </si>
  <si>
    <t>RD_M_177/2008_0237</t>
  </si>
  <si>
    <t>Técnico superior en Sistemas de Telecomunicación e Informáticos (RD_622/1995): Sistemas de telefonía + Sistemas de radio y televisión + Seguridad en las instalaciones de telecomunicación e informática</t>
  </si>
  <si>
    <t>RD_M_177/2008_0238</t>
  </si>
  <si>
    <t>RD_M_177/2008_0240</t>
  </si>
  <si>
    <t>Técnico en Equipos e Instalaciones Electrotécnicas (RD_623/1995): Mantenimiento de máquinas eléctricas</t>
  </si>
  <si>
    <t>Técnico en operaciones de fabricación de productos farmacéuticos (RD_816/1993): Química aplicada</t>
  </si>
  <si>
    <t>Técnico en operaciones de proceso de pasta y papel (RD_815/1993): Química aplicada</t>
  </si>
  <si>
    <t>Técnico en Operaciones de Proceso en Planta Química (RD_814/1993): Química aplicada</t>
  </si>
  <si>
    <t>RD_M_178/2008_0110</t>
  </si>
  <si>
    <t>Técnico en Operaciones de Proceso en Planta Química (RD_814/1993): Operaciones de proceso en planta química</t>
  </si>
  <si>
    <t>RD_M_178/2008_0111</t>
  </si>
  <si>
    <t>RD_M_178/2008_0112</t>
  </si>
  <si>
    <t>Técnico en operaciones de fabricación de productos farmacéuticos (RD_816/1993): Instrumentación y control de procesos químicos</t>
  </si>
  <si>
    <t>Técnico en operaciones de proceso de pasta y papel (RD_815/1993): Instrumentación y control de procesos químicos</t>
  </si>
  <si>
    <t>Técnico en Operaciones de Proceso en Planta Química (RD_814/1993): Instrumentación y control de procesos químicos</t>
  </si>
  <si>
    <t>RD_M_178/2008_0113</t>
  </si>
  <si>
    <t>Técnico en operaciones de fabricación de productos farmacéuticos (RD_816/1993): Servicios auxiliares de proceso químico</t>
  </si>
  <si>
    <t>Técnico en operaciones de proceso de pasta y papel (RD_815/1993): Servicios auxiliares de proceso químico</t>
  </si>
  <si>
    <t>Técnico en Operaciones de Proceso en Planta Química (RD_814/1993): Servicios auxiliares de proceso qúimico</t>
  </si>
  <si>
    <t>RD_M_178/2008_0114</t>
  </si>
  <si>
    <t>RD_M_1792/2010_0036</t>
  </si>
  <si>
    <t>Técnico en Montaje y Mantenimiento de Instalaciones de Frío, Climatización y Producción de Calor (RD_2046/1995): Máquinas y equipos frigoríficos</t>
  </si>
  <si>
    <t>Técnico en Instalación y Mantenimiento Electromecánico de Maquinaria y Conducción de Lineas (RD_2045/1995): Ciclo completo</t>
  </si>
  <si>
    <t>Técnico en Montaje y Mantenimiento de Instalaciones de Frío, Climatización y Producción de Calor (RD_2046/1995): Instalaciones de producción de calor</t>
  </si>
  <si>
    <t>RD_M_1792/2010_0392</t>
  </si>
  <si>
    <t>RD_M_1793/2010_0036</t>
  </si>
  <si>
    <t>Técnico en Operación, Control y Mantenimiento de Máquinas e Instalaciones del Buque (RD_725/1994): Instalaciones y máquinas eléctricas + Automatización: regulación y control</t>
  </si>
  <si>
    <t>RD_M_1793/2010_0040</t>
  </si>
  <si>
    <t>Técnico en Montaje y Mantenimiento de Instalaciones de Frío, Climatización y Producción de Calor (RD_2046/1995): Instalaciones frigoríficas</t>
  </si>
  <si>
    <t>RD_M_1793/2010_0041</t>
  </si>
  <si>
    <t>Técnico en Montaje y Mantenimiento de Instalaciones de Frío, Climatización y Producción de Calor (RD_2046/1995): Instalaciones de climatización y ventilación</t>
  </si>
  <si>
    <t>RD_M_1796/2008_0291</t>
  </si>
  <si>
    <t>Técnico superior en Automoción (RD_1648/1994): Sistemas eléctricos de seguridad y de confortabilidad</t>
  </si>
  <si>
    <t>RD_M_1796/2008_0292</t>
  </si>
  <si>
    <t>Técnico superior en Automoción (RD_1648/1994): Sistemas de transmisión de fuerzas y trenes de rodaje</t>
  </si>
  <si>
    <t>Técnico superior en Automoción (RD_1648/1994): Motores térmicos y sus sistemas auxiliares</t>
  </si>
  <si>
    <t>RD_M_1796/2008_0294</t>
  </si>
  <si>
    <t>Técnico superior en Automoción (RD_1648/1994): Elementos amovibles y fijos no estructurales</t>
  </si>
  <si>
    <t>RD_M_1796/2008_0295</t>
  </si>
  <si>
    <t>Técnico superior en Automoción (RD_1648/1994): Preparación y embellecimiento de superficies</t>
  </si>
  <si>
    <t>RD_M_1796/2008_0296</t>
  </si>
  <si>
    <t>Técnico superior en Automoción (RD_1648/1994): Estructuras de vehículos</t>
  </si>
  <si>
    <t>RD_M_1796/2008_0297</t>
  </si>
  <si>
    <t>Técnico superior en Automoción (RD_1648/1994): Gestión del mantenimiento y logística asociada</t>
  </si>
  <si>
    <t>RD_M_1797/2008_0163</t>
  </si>
  <si>
    <t>RD_M_1797/2008_0165</t>
  </si>
  <si>
    <t>RD_M_1797/2008_0303</t>
  </si>
  <si>
    <t>Técnico Superior en Desarrollo y Fabricación de Productos Cerámicos (RD_2038/1995): Desarrollo de composiciones</t>
  </si>
  <si>
    <t>RD_M_1797/2008_0304</t>
  </si>
  <si>
    <t>RD_M_1797/2008_0305</t>
  </si>
  <si>
    <t>Técnico Superior en Desarrollo y Fabricación de Productos Cerámicos (RD_2038/1995): Desarrollo de proyectos de fabricación de productos cerámicos</t>
  </si>
  <si>
    <t>RD_M_1797/2008_0306</t>
  </si>
  <si>
    <t>Técnico Superior en Desarrollo y Fabricación de Productos Cerámicos (RD_2038/1995): Fabricación de productos cerámicos conformados</t>
  </si>
  <si>
    <t>RD_M_1797/2008_0307</t>
  </si>
  <si>
    <t>Técnico Superior en Desarrollo y Fabricación de Productos Cerámicos (RD_2038/1995): Fabricación de fritas, pigmentos y esmaltes</t>
  </si>
  <si>
    <t>RD_M_1797/2008_0308</t>
  </si>
  <si>
    <t>RD_M_1797/2008_0311</t>
  </si>
  <si>
    <t>Técnico Superior en Desarrollo y Fabricación de Productos Cerámicos (RD_2038/1995): Cerámicas avanzadas</t>
  </si>
  <si>
    <t>RD_M_1797/2008_0312</t>
  </si>
  <si>
    <t>Técnico en Elaboración de Aceites y Jugos (RD_2053/1995): Operaciones y control de almacén</t>
  </si>
  <si>
    <t>Técnico en Elaboración de Vinos y Otras Bebidas (RD_2055/1995): Operaciones y control de almacén</t>
  </si>
  <si>
    <t>Técnico en Conservería Vegetal, Cárnica y de Pescado (RD_2052/1995): Operaciones y control de almacén</t>
  </si>
  <si>
    <t>RD_M_1798/2008_0031</t>
  </si>
  <si>
    <t>Técnico en Elaboración de Aceites y Jugos (RD_2053/1995): Higiene y seguridad en la industria alimentaria</t>
  </si>
  <si>
    <t>Técnico en Elaboración de Vinos y Otras Bebidas (RD_2055/1995): Higiene y seguridad en la industria alimentaria</t>
  </si>
  <si>
    <t>Técnico en Elaboración de Aceites y Jugos (RD_2053/1995): Sistemas de control y auxiliares de los procesos</t>
  </si>
  <si>
    <t>Técnico en Elaboración de Vinos y Otras Bebidas (RD_2055/1995): Sistemas de control y auxiliares de los procesos</t>
  </si>
  <si>
    <t>RD_M_1798/2008_0316</t>
  </si>
  <si>
    <t>Técnico en Elaboración de Aceites y Jugos (RD_2053/1995): Materias primas, productos y procesos en la industria oleícola y extractiva</t>
  </si>
  <si>
    <t>Técnico en Elaboración de Vinos y Otras Bebidas (RD_2055/1995): Materias primas, productos y procesos en la industria de bebidas</t>
  </si>
  <si>
    <t>RD_M_1798/2008_0317</t>
  </si>
  <si>
    <t>Técnico en Elaboración de Aceites y Jugos (RD_2053/1995): Operaciones de proceso de extracción de aceites y jugos</t>
  </si>
  <si>
    <t>RD_M_1798/2008_0318</t>
  </si>
  <si>
    <t>Técnico en Elaboración de Vinos y Otras Bebidas (RD_2055/1995): Operaciones de vinificación</t>
  </si>
  <si>
    <t>RD_M_1798/2008_0319</t>
  </si>
  <si>
    <t>Técnico en Elaboración de Aceites y Jugos (RD_2053/1995): Operaciones de proceso de acondicionamiento de aceites y jugos</t>
  </si>
  <si>
    <t>RD_M_1798/2008_0320</t>
  </si>
  <si>
    <t>Técnico en Elaboración de Vinos y Otras Bebidas (RD_2055/1995): Destilería-licorería</t>
  </si>
  <si>
    <t>RD_M_1798/2008_0321</t>
  </si>
  <si>
    <t>Técnico Superior en Desarrollo de Proyectos de Instalaciones de Fluidos, Térmicas y de Manutención (RD_2042/1995): Sistemas automáticos en las instalaciones</t>
  </si>
  <si>
    <t>RD_M_219/2008_0121</t>
  </si>
  <si>
    <t>RD_M_219/2008_0122</t>
  </si>
  <si>
    <t>RD_M_219/2008_0123</t>
  </si>
  <si>
    <t>RD_M_219/2008_0124</t>
  </si>
  <si>
    <t>Técnico Superior en Desarrollo de Proyectos de Instalaciones de Fluidos, Térmicas y de Manutención (RD_2042/1995): Proyectos de instalaciones térmicas y de fluidos</t>
  </si>
  <si>
    <t>RD_M_219/2008_0125</t>
  </si>
  <si>
    <t>RD_M_219/2008_0126</t>
  </si>
  <si>
    <t>RD_M_219/2008_0127</t>
  </si>
  <si>
    <t>RD_M_219/2008_0128</t>
  </si>
  <si>
    <t>Técnico Superior en Desarrollo de Proyectos de Instalaciones de Fluidos, Térmicas y de Manutención (RD_2042/1995): Procesos y gestión de montaje de instalaciones</t>
  </si>
  <si>
    <t>Técnico Superior en Mantenimiento y Montaje de Instalaciones de Edificio y Proceso (RD_2044/1995): Sistemas automáticos en las instalaciones</t>
  </si>
  <si>
    <t>RD_M_220/2008_0121</t>
  </si>
  <si>
    <t>RD_M_220/2008_0122</t>
  </si>
  <si>
    <t>RD_M_220/2008_0123</t>
  </si>
  <si>
    <t>RD_M_220/2008_0133</t>
  </si>
  <si>
    <t>Técnico Superior en Mantenimiento y Montaje de Instalaciones de Edificio y Proceso (RD_2044/1995): Procesos y gestión del mantenimiento y montaje de instalaciones + Calidad en el mantenimiento y montaje de equipos e instalaciones</t>
  </si>
  <si>
    <t>Técnico Superior en Mantenimiento y Montaje de Instalaciones de Edificio y Proceso (RD_2044/1995): Proyectos de modificación de instalaciones térmicas y de fluidos</t>
  </si>
  <si>
    <t>RD_M_220/2008_0135</t>
  </si>
  <si>
    <t>Técnico Superior en Mantenimiento y Montaje de Instalaciones de Edificio y Proceso (RD_2044/1995): Mantenimiento de instalaciones térmicas y de fluidos</t>
  </si>
  <si>
    <t>RD_M_220/2008_0136</t>
  </si>
  <si>
    <t>RD_M_254/2011_0703</t>
  </si>
  <si>
    <t>Técnico en Operaciones de Cultivo Acuícola (RD_726/1994): Técnicas de cultivos auxiliares</t>
  </si>
  <si>
    <t>RD_M_254/2011_0704</t>
  </si>
  <si>
    <t>Técnico en Operaciones de Cultivo Acuícola (RD_726/1994): Técnicas del cultivo de peces</t>
  </si>
  <si>
    <t>RD_M_254/2011_0705</t>
  </si>
  <si>
    <t>Técnico en Operaciones de Cultivo Acuícola (RD_726/1994): Técnicas del cultivo de moluscos</t>
  </si>
  <si>
    <t>Técnico en Operaciones de Cultivo Acuícola (RD_726/1994): Instalaciones y equipos de cultivo</t>
  </si>
  <si>
    <t>RD_M_254/2011_0707</t>
  </si>
  <si>
    <t>RD_M_254/2011_0708</t>
  </si>
  <si>
    <t>RD_M_254/2011_0709</t>
  </si>
  <si>
    <t>Técnico en Operaciones de Cultivo Acuícola (RD_726/1994): Técnicas del cultivo de crustáceos</t>
  </si>
  <si>
    <t>RD_M_255/2011_0456</t>
  </si>
  <si>
    <t>Técnico en Electromecánica de Vehículos (RD_1649/1994): Circuitos electrotécnicos básicos. Sistemas de carga y arranque del vehículo</t>
  </si>
  <si>
    <t>RD_M_256/2011_0633</t>
  </si>
  <si>
    <t>Técnico en Estética Personal Decorativa (RD_630/1995): Técnicas de higiene facial y corporal</t>
  </si>
  <si>
    <t>RD_M_256/2011_0634</t>
  </si>
  <si>
    <t>Técnico en Estética Personal Decorativa (RD_630/1995): Maquillaje</t>
  </si>
  <si>
    <t>RD_M_256/2011_0635</t>
  </si>
  <si>
    <t>Técnico en Estética Personal Decorativa (RD_630/1995): Depilación mecánica y técnicas complementarias</t>
  </si>
  <si>
    <t>RD_M_256/2011_0636</t>
  </si>
  <si>
    <t>RD_M_256/2011_0637</t>
  </si>
  <si>
    <t>RD_M_256/2011_0640</t>
  </si>
  <si>
    <t>Técnico en Peluquería (RD_629/1995): Anatomía y fisiología humanas básicas</t>
  </si>
  <si>
    <t>RD_M_256/2011_0641</t>
  </si>
  <si>
    <t>Técnico en Estética Personal Decorativa (RD_630/1995): Cosmetología aplicada a la estética decorativa</t>
  </si>
  <si>
    <t>RD_M_257/2011_0267</t>
  </si>
  <si>
    <t>Técnico en Calzado y Marroquinería (RD_742/1994): Técnicas de corte de tejidos y pieles</t>
  </si>
  <si>
    <t>Técnico en Confección (RD_743/1994): Técnicas de corte de tejidos y pieles</t>
  </si>
  <si>
    <t>RD_M_257/2011_0269</t>
  </si>
  <si>
    <t>Técnico en Calzado y Marroquinería (RD_742/1994): Técnicas de ensamblaje</t>
  </si>
  <si>
    <t>Técnico en Confección (RD_743/1994): Técnicas de ensamblaje</t>
  </si>
  <si>
    <t>RD_M_257/2011_0275</t>
  </si>
  <si>
    <t>Técnico en Calzado y Marroquinería (RD_742/1994): Materias textiles + Piel y cuero</t>
  </si>
  <si>
    <t>Técnico en Confección (RD_743/1994): Materias textiles + Piel y cuero</t>
  </si>
  <si>
    <t>RD_M_257/2011_0603</t>
  </si>
  <si>
    <t>Técnico en Calzado y Marroquinería (RD_742/1994): Técnicas de montado y acabado de calzado y marroquinería</t>
  </si>
  <si>
    <t>RD_M_257/2011_0604</t>
  </si>
  <si>
    <t>RD_M_259/2011_0691</t>
  </si>
  <si>
    <t>Técnico superior en Gestión y Organización de los Recursos Naturales y Paisajísticos (RD_1712/1996): Gestión y organización de la producción de plantas</t>
  </si>
  <si>
    <t>Técnico superior en Gestión y Organización de Empresas Agropecuarias (RD_1711/1996): Gestión y organización de la producción de plantas</t>
  </si>
  <si>
    <t>RD_M_259/2011_0692</t>
  </si>
  <si>
    <t>Técnico superior en Gestión y Organización de Empresas Agropecuarias (RD_1711/1996): Fitopatología</t>
  </si>
  <si>
    <t>RD_M_259/2011_0694</t>
  </si>
  <si>
    <t>RD_M_259/2011_0695</t>
  </si>
  <si>
    <t>Técnico superior en Gestión y Organización de Empresas Agropecuarias (RD_1711/1996): Producción agrícola</t>
  </si>
  <si>
    <t>RD_M_259/2011_0696</t>
  </si>
  <si>
    <t>RD_M_259/2011_0697</t>
  </si>
  <si>
    <t>Técnico superior en Gestión y Organización de los Recursos Naturales y Paisajísticos (RD_1712/1996): Instalación y mantenimiento de jardines y restauración del paisaje</t>
  </si>
  <si>
    <t>RD_M_259/2011_0698</t>
  </si>
  <si>
    <t>RD_M_260/2011_0692</t>
  </si>
  <si>
    <t>Técnico superior en Gestión y Organización de los Recursos Naturales y Paisajísticos (RD_1712/1996): Protección de las masas forestales</t>
  </si>
  <si>
    <t>RD_M_260/2011_0694</t>
  </si>
  <si>
    <t>RD_M_260/2011_0810</t>
  </si>
  <si>
    <t>Técnico superior en Gestión y Organización de los Recursos Naturales y Paisajísticos (RD_1712/1996): Gestión de los aprovechamientos forestales</t>
  </si>
  <si>
    <t>RD_M_260/2011_0812</t>
  </si>
  <si>
    <t>Técnico superior en Gestión y Organización de los Recursos Naturales y Paisajísticos (RD_1712/1996): Gestión de los aprovechamientos cinegéticos y piscícolas</t>
  </si>
  <si>
    <t>RD_M_260/2011_0813</t>
  </si>
  <si>
    <t>RD_M_260/2011_0814</t>
  </si>
  <si>
    <t>Técnico superior en Gestión y Organización de los Recursos Naturales y Paisajísticos (RD_1712/1996): Gestión selvícola</t>
  </si>
  <si>
    <t>Técnico superior en Gestión y Organización de los Recursos Naturales y Paisajísticos (RD_1712/1996): Gestión del uso público del medio natural</t>
  </si>
  <si>
    <t>RD_M_260/2011_0816</t>
  </si>
  <si>
    <t>RD_M_386/2011_0562</t>
  </si>
  <si>
    <t>Técnico superior en Desarrollo y Aplicación de Proyectos de Construcción (RD_2208/1993): Normas y proyectos de construcción</t>
  </si>
  <si>
    <t>RD_M_386/2011_0563</t>
  </si>
  <si>
    <t>Técnico superior en Levantamientos y Desarrollos Urbanísticos (RD_2209/1993): Planes de urbanismo + Proyecto de urbanización</t>
  </si>
  <si>
    <t>Técnico superior en Desarrollo y Aplicación de Proyectos de Construcción (RD_2208/1993): Representaciones de construcción</t>
  </si>
  <si>
    <t>RD_M_386/2011_0564</t>
  </si>
  <si>
    <t>Técnico superior en Desarrollo y Aplicación de Proyectos de Construcción (RD_2208/1993): Mediciones y valoraciones</t>
  </si>
  <si>
    <t>Técnico superior en Realización y Planes de Obras (RD_2210/1993): Organización de tajos de obra</t>
  </si>
  <si>
    <t>RD_M_386/2011_0565</t>
  </si>
  <si>
    <t>Técnico superior en Levantamientos y Desarrollos Urbanísticos (RD_2209/1993): Replanteos de obra</t>
  </si>
  <si>
    <t>RD_M_386/2011_0566</t>
  </si>
  <si>
    <t>Técnico superior en Desarrollo y Aplicación de Proyectos de Construcción (RD_2208/1993): Planes de obra</t>
  </si>
  <si>
    <t>RD_M_386/2011_0769</t>
  </si>
  <si>
    <t>Técnico superior en Levantamientos y Desarrollos Urbanísticos (RD_2209/1993): Ordenación urbana + Trazados viarios y abastecimientos</t>
  </si>
  <si>
    <t>RD_M_386/2011_0770</t>
  </si>
  <si>
    <t>Técnico superior en Levantamientos y Desarrollos Urbanísticos (RD_2209/1993): Trazados viarios y abastecimientos</t>
  </si>
  <si>
    <t>Técnico superior en Desarrollo y Aplicación de Proyectos de Construcción (RD_2208/1993): Proyecto de obra civil</t>
  </si>
  <si>
    <t>RD_M_386/2011_0771</t>
  </si>
  <si>
    <t>Técnico superior en Levantamientos y Desarrollos Urbanísticos (RD_2209/1993): Trabajos de campo y de gabinete</t>
  </si>
  <si>
    <t>RD_M_386/2011_0772</t>
  </si>
  <si>
    <t>RD_M_386/2011_0773</t>
  </si>
  <si>
    <t>RD_M_387/2011_0006</t>
  </si>
  <si>
    <t>Técnico en operaciones de transformación de plásticos y caucho (RD_818/1993): Transformación y moldeo de plástico + Transformación y vulcanización de elastómeros + Acabado y control de calidad de productos de plásticos y caucho</t>
  </si>
  <si>
    <t>Técnico en Fundición (RD_2421/1994): Sistemas auxiliares de fabricación mecánica</t>
  </si>
  <si>
    <t>Técnico en Tratamientos Superficiales y Térmicos (RD_2420/1994): Sistemas auxiliares de fabricación mecánica</t>
  </si>
  <si>
    <t>Técnico en operaciones de transformación de plásticos y caucho (RD_818/1993): Instalaciones de transformación</t>
  </si>
  <si>
    <t>RD_M_387/2011_0723</t>
  </si>
  <si>
    <t>Técnico en Fundición (RD_2421/1994): Sistemas de moldeo y machería</t>
  </si>
  <si>
    <t>RD_M_387/2011_0724</t>
  </si>
  <si>
    <t>RD_M_387/2011_0725</t>
  </si>
  <si>
    <t>RD_M_387/2011_0726</t>
  </si>
  <si>
    <t>Técnico en operaciones de transformación de plásticos y caucho (RD_818/1993): Materiales poliméricos y sus mezclas</t>
  </si>
  <si>
    <t>Técnico superior en Administración de Sistemas Informáticos (RD_1660/1994): Sistemas informáticos monousuario y multiusuario + Redes de área local</t>
  </si>
  <si>
    <t>Técnico superior en Desarrollo de Aplicaciones Informáticas (RD_1661/1994): Sistemas informáticos multiusuario y en red</t>
  </si>
  <si>
    <t>RD_M_450/2010_0485</t>
  </si>
  <si>
    <t>Técnico superior en Desarrollo de Aplicaciones Informáticas (RD_1661/1994): Programación en lenguajes estructurados</t>
  </si>
  <si>
    <t>RD_M_450/2010_0486</t>
  </si>
  <si>
    <t>RD_M_450/2010_0487</t>
  </si>
  <si>
    <t>Técnico superior en Desarrollo de Aplicaciones Informáticas (RD_1661/1994): Análisis y diseño detallado de aplicaciones informáticas de gestión</t>
  </si>
  <si>
    <t>RD_M_450/2010_0488</t>
  </si>
  <si>
    <t>Técnico superior en Desarrollo de Aplicaciones Informáticas (RD_1661/1994): Diseño y realización de servicios de presentación en entornos gráficos</t>
  </si>
  <si>
    <t>Técnico superior en Industria Alimentaria (RD_2050/1995): Logística + Comercialización de productos alimentarios</t>
  </si>
  <si>
    <t>Técnico superior en Industria Alimentaria (RD_2050/1995): Gestión de calidad + Técnicas de protección ambiental</t>
  </si>
  <si>
    <t>Técnico superior en Industria Alimentaria (RD_2050/1995): Elaboración de productos alimentarios + Sistemas automáticos de producción en la industria alimentaria</t>
  </si>
  <si>
    <t>RD_M_451/2010_0462</t>
  </si>
  <si>
    <t>Técnico superior en Industria Alimentaria (RD_2050/1995): Procesos en la industria alimentaria</t>
  </si>
  <si>
    <t>Técnico superior en Industria Alimentaria (RD_2050/1995): Microbiología y química alimentarias</t>
  </si>
  <si>
    <t>RD_M_451/2010_0465</t>
  </si>
  <si>
    <t>RD_M_451/2010_0466</t>
  </si>
  <si>
    <t>Técnico superior en Industria Alimentaria (RD_2050/1995): Organización y control de una unidad de producción</t>
  </si>
  <si>
    <t>RD_M_451/2010_0467</t>
  </si>
  <si>
    <t>RD_M_451/2010_0469</t>
  </si>
  <si>
    <t>Técnico en Matadero y Carnicería-Charcutería (RD_2051/1995): Opraciones y control de almacén</t>
  </si>
  <si>
    <t>Técnico en Elaboración de Productos Lácteos (RD_2054/1995): Operaciones y control de almacén</t>
  </si>
  <si>
    <t>Técnico en Molinería e Industrias Cerealistas (RD_2056/1995): Operaciones y control de almacén</t>
  </si>
  <si>
    <t>RD_M_452/2010_0031</t>
  </si>
  <si>
    <t>Técnico en Conservería Vegetal, Cárnica y de Pescado (RD_2052/1995): Higiene y seguridad en la industria alimentaria</t>
  </si>
  <si>
    <t>Técnico en Matadero y Carnicería-Charcutería (RD_2051/1995): Higiene y seguridad en la industria alimentaria</t>
  </si>
  <si>
    <t>Técnico en Elaboración de Productos Lácteos (RD_2054/1995): Higiene y seguridad en la industria alimentaria</t>
  </si>
  <si>
    <t>Técnico en Molinería e Industrias Cerealistas (RD_2056/1995): Higiene y seguridad en la industria alimentaria</t>
  </si>
  <si>
    <t>Técnico en Conservería Vegetal, Cárnica y de Pescado (RD_2052/1995): Sistemas de control y auxiliares de los procesos</t>
  </si>
  <si>
    <t>Técnico en Elaboración de Productos Lácteos (RD_2054/1995): Sistemas de control y auxiliares de los procesos</t>
  </si>
  <si>
    <t>Técnico en Molinería e Industrias Cerealistas (RD_2056/1995): Sistemas de control y auxiliares de los procesos</t>
  </si>
  <si>
    <t>Técnico en Panificación y Repostería (RD_2057/1995): Sistemas de control y auxiliares de los procesos</t>
  </si>
  <si>
    <t>RD_M_452/2010_0141</t>
  </si>
  <si>
    <t>Técnico en Conservería Vegetal, Cárnica y de Pescado (RD_2052/1995): Materias primas, procesos y productos en la industria conservera</t>
  </si>
  <si>
    <t>Técnico en Matadero y Carnicería-Charcutería (RD_2051/1995): Tecnología de la carne</t>
  </si>
  <si>
    <t>Técnico en Elaboración de Productos Lácteos (RD_2054/1995): Leche, productos lácteos y procesos</t>
  </si>
  <si>
    <t>RD_M_452/2010_0142</t>
  </si>
  <si>
    <t>Técnico en Conservería Vegetal, Cárnica y de Pescado (RD_2052/1995): Operaciones básicas de elaboración de conservas</t>
  </si>
  <si>
    <t>Técnico en Matadero y Carnicería-Charcutería (RD_2051/1995): Charcutería</t>
  </si>
  <si>
    <t>Técnico en Elaboración de Productos Lácteos (RD_2054/1995): Operaciones de proceso de leches de consumo y helados</t>
  </si>
  <si>
    <t>RD_M_452/2010_0143</t>
  </si>
  <si>
    <t>Técnico en Conservería Vegetal, Cárnica y de Pescado (RD_2052/1995): Tratamientos finales de conservación + Envasado y embalaje</t>
  </si>
  <si>
    <t>Técnico en Elaboración de Productos Lácteos (RD_2054/1995): Quesería y mantequería + Envasado y embalaje</t>
  </si>
  <si>
    <t>RD_M_452/2010_0145</t>
  </si>
  <si>
    <t>RD_M_453/2010_0453</t>
  </si>
  <si>
    <t>RD_M_453/2010_0454</t>
  </si>
  <si>
    <t>Técnico en Electromecánica de Vehículos (RD_1649/1994): Sistemas de transmisión y frenado</t>
  </si>
  <si>
    <t>RD_M_453/2010_0456</t>
  </si>
  <si>
    <t>Técnico en Electromecánica de Vehículos (RD_1649/1994): Circuitos eléctricos auxiliares del vehículo</t>
  </si>
  <si>
    <t>RD_M_453/2010_0458</t>
  </si>
  <si>
    <t>Técnico en Electromecánica de Vehículos (RD_1649/1994): Sistemas de seguridad y confortabilidad</t>
  </si>
  <si>
    <t>RD_M_454/2010_0417</t>
  </si>
  <si>
    <t>Técnico en Operaciones de Fabricación de Productos Cerámicos (RD_2040/1995): Pastas cerámicas</t>
  </si>
  <si>
    <t>RD_M_454/2010_0418</t>
  </si>
  <si>
    <t>Técnico en Operaciones de Fabricación de Productos Cerámicos (RD_2040/1995): Fritas, pigmentos y esmaltes</t>
  </si>
  <si>
    <t>RD_M_454/2010_0419</t>
  </si>
  <si>
    <t>RD_M_454/2010_0420</t>
  </si>
  <si>
    <t>Técnico en Operaciones de Fabricación de Productos Cerámicos (RD_2040/1995): Procesos de fabricación de productos cerámicos</t>
  </si>
  <si>
    <t>RD_M_454/2010_0422</t>
  </si>
  <si>
    <t>Técnico en Operaciones de Fabricación de Productos Cerámicos (RD_2040/1995): Control de materiales y productos cerámicos</t>
  </si>
  <si>
    <t>Técnico en Laboratorio (RD_817/1993): Química y análisis químico</t>
  </si>
  <si>
    <t>Técnico en Laboratorio (RD_817/1993): Operaciones básicas de laboratorio</t>
  </si>
  <si>
    <t>RD_M_554/2012_1251</t>
  </si>
  <si>
    <t>Técnico en Laboratorio (RD_817/1993): Ensayos físicos y físico-químicos</t>
  </si>
  <si>
    <t>RD_M_554/2012_1252</t>
  </si>
  <si>
    <t>RD_M_554/2012_1253</t>
  </si>
  <si>
    <t>Técnico en Laboratorio (RD_817/1993): Información y seguridad en el laboratorio</t>
  </si>
  <si>
    <t>RD_M_554/2012_1254</t>
  </si>
  <si>
    <t>Técnico en Laboratorio (RD_817/1993): Pruebas microbiológicas</t>
  </si>
  <si>
    <t>RD_M_554/2012_1255</t>
  </si>
  <si>
    <t>RD_M_554/2012_1256</t>
  </si>
  <si>
    <t>Técnico en Electromecánica de Vehículos (RD_1649/1994): Sistemas auxiliares del motor + Circuitos de fluidos. Suspensión y dirección + Sistemas de transmisión y frenado
+
Circuitos eléctricos auxiliares del vehículo</t>
  </si>
  <si>
    <t>Técnico en Laboratorio de Imagen (RD_2037/1995): Tratamiento de imágenes fotográficas por procedimientos digitales</t>
  </si>
  <si>
    <t>RD_M_636/2015_0562</t>
  </si>
  <si>
    <t>RD_M_636/2015_0564</t>
  </si>
  <si>
    <t>RD_M_636/2015_0565</t>
  </si>
  <si>
    <t>RD_M_636/2015_0566</t>
  </si>
  <si>
    <t>Técnico superior en Realización y Planes de Obras (RD_2210/1993): Planes de obra</t>
  </si>
  <si>
    <t>RD_M_636/2015_1288</t>
  </si>
  <si>
    <t>RD_M_636/2015_1289</t>
  </si>
  <si>
    <t>RD_M_687/2010_0497</t>
  </si>
  <si>
    <t>Técnico superior en Restauración (RD_2218/1993): Procesos de cocina</t>
  </si>
  <si>
    <t>RD_M_687/2010_0498</t>
  </si>
  <si>
    <t>Técnico superior en Restauración (RD_2218/1993): Procesos de pastelería y panadería</t>
  </si>
  <si>
    <t>RD_M_687/2010_0499</t>
  </si>
  <si>
    <t>RD_M_687/2010_0503</t>
  </si>
  <si>
    <t>Técnico superior en Restauración (RD_2218/1993): Administración de establecimientos de restauración + Marketing en restauración</t>
  </si>
  <si>
    <t>RD_M_688/2010_0503</t>
  </si>
  <si>
    <t>RD_M_688/2010_0509</t>
  </si>
  <si>
    <t>Técnico superior en Restauración (RD_2218/1993): Procesos de servicio de alimentos y bebidas</t>
  </si>
  <si>
    <t>RD_M_688/2010_0510</t>
  </si>
  <si>
    <t>RD_M_689/2010_0165</t>
  </si>
  <si>
    <t>RD_M_689/2010_0276</t>
  </si>
  <si>
    <t>RD_M_689/2010_0280</t>
  </si>
  <si>
    <t>Técnico Superior en Patronaje (RD_738/1994): Organización de la Producción en la Industria de la Confección</t>
  </si>
  <si>
    <t>Técnico superior en Procesos de Confección Industrial (RD_737/1994): Organización de la producción en la industria de la confección</t>
  </si>
  <si>
    <t>RD_M_689/2010_0283</t>
  </si>
  <si>
    <t>RD_M_689/2010_0284</t>
  </si>
  <si>
    <t>Técnico Superior en Patronaje (RD_738/1994): Procesos y Técnicas de Patronaje</t>
  </si>
  <si>
    <t>RD_M_689/2010_0594</t>
  </si>
  <si>
    <t>RD_M_689/2010_0595</t>
  </si>
  <si>
    <t>Técnico Superior en Patronaje (RD_738/1994): Industrialización de Patrones</t>
  </si>
  <si>
    <t>RD_M_689/2010_0596</t>
  </si>
  <si>
    <t>Técnico superior en Procesos de Confección Industrial (RD_737/1994): Procesos de confección</t>
  </si>
  <si>
    <t>RD_M_690/2010_0562</t>
  </si>
  <si>
    <t>RD_M_690/2010_0563</t>
  </si>
  <si>
    <t>RD_M_690/2010_0564</t>
  </si>
  <si>
    <t>RD_M_690/2010_0565</t>
  </si>
  <si>
    <t>RD_M_690/2010_0566</t>
  </si>
  <si>
    <t>RD_M_690/2010_0567</t>
  </si>
  <si>
    <t>RD_M_690/2010_0568</t>
  </si>
  <si>
    <t>RD_M_690/2010_0570</t>
  </si>
  <si>
    <t>RD_M_767/2014_1367</t>
  </si>
  <si>
    <t>Técnico superior en Laboratorio de Diagnóstico Clínico (RD_539/1995): Organización y gestión del área de trabajo asignada en la unidad-consulta de laboratorio de diagnóstico clínico + Recogida, preparación y conservación de muestras biológicas humanas</t>
  </si>
  <si>
    <t>RD_M_767/2014_1368</t>
  </si>
  <si>
    <t>Técnico superior en Anatomía Patológica y Citología (RD_538/1995): Proceso de tejidos y citopreparación</t>
  </si>
  <si>
    <t>RD_M_767/2014_1379</t>
  </si>
  <si>
    <t>Técnico superior en Anatomía Patológica y Citología (RD_538/1995): Necropsias</t>
  </si>
  <si>
    <t>RD_M_767/2014_1380</t>
  </si>
  <si>
    <t>RD_M_767/2014_1381</t>
  </si>
  <si>
    <t>Técnico superior en Anatomía Patológica y Citología (RD_538/1995): Citología ginecológica</t>
  </si>
  <si>
    <t>RD_M_767/2014_1382</t>
  </si>
  <si>
    <t>Técnico superior en Anatomía Patológica y Citología (RD_538/1995): Citología de secreciones y líquidos + Citología de muestras no ginecológicas obtenidas por punción + Fotografía macro y microscópica</t>
  </si>
  <si>
    <t>RD_M_768/2014_0649</t>
  </si>
  <si>
    <t>Técnico superior en Documentación Sanitaria (RD_543/1995): Aplicaciones informáticas generales</t>
  </si>
  <si>
    <t>RD_M_768/2014_1517</t>
  </si>
  <si>
    <t>Técnico superior en industrias de proceso de pasta y papel (RD_809/1993): Definición y tratamiento de documentación clínica + Codificación de datos clínicos y no clínicos</t>
  </si>
  <si>
    <t>RD_M_768/2014_1518</t>
  </si>
  <si>
    <t>Técnico superior en Documentación Sanitaria (RD_543/1995): Organización de archivos clínicos</t>
  </si>
  <si>
    <t>RD_M_768/2014_1519</t>
  </si>
  <si>
    <t>RD_M_768/2014_1520</t>
  </si>
  <si>
    <t>RD_M_768/2014_1522</t>
  </si>
  <si>
    <t>Técnico superior en Documentación Sanitaria (RD_543/1995): Validación y explotación de las bases de datos sanitarias</t>
  </si>
  <si>
    <t>RD_M_769/2014_0730</t>
  </si>
  <si>
    <t>Técnico superior en Higiene Bucodental (RD_537/1995): Organización y gestión del área de trabajo asignada en la unidad-gabinete de higiene bucodental</t>
  </si>
  <si>
    <t>RD_M_769/2014_0731</t>
  </si>
  <si>
    <t>Técnico superior en Higiene Bucodental (RD_537/1995): Exploración bucodental</t>
  </si>
  <si>
    <t>RD_M_769/2014_0732</t>
  </si>
  <si>
    <t>RD_M_769/2014_0733</t>
  </si>
  <si>
    <t>Técnico superior en Higiene Bucodental (RD_537/1995): Prevención bucodental</t>
  </si>
  <si>
    <t>RD_M_769/2014_0734</t>
  </si>
  <si>
    <t>Técnico superior en Higiene Bucodental (RD_537/1995): Vigilancia epidemiológica bucodental</t>
  </si>
  <si>
    <t>RD_M_769/2014_0735</t>
  </si>
  <si>
    <t>Técnico superior en Higiene Bucodental (RD_537/1995): Educación sanitaria y promoción de la salud</t>
  </si>
  <si>
    <t>Técnico superior en Dietética (RD_536/1995): Educación sanitaria y promoción de la salud</t>
  </si>
  <si>
    <t>Técnico superior en Salud Ambiental (RD_540/1995): Educación sanitaria y promoción de la salud</t>
  </si>
  <si>
    <t>RD_M_769/2014_0736</t>
  </si>
  <si>
    <t>RD_M_769/2014_0737</t>
  </si>
  <si>
    <t>RD_M_770/2014_1347</t>
  </si>
  <si>
    <t>Técnico superior en imagen para el Diagnóstico (RD_545/1995): Anatomía radiológica</t>
  </si>
  <si>
    <t>RD_M_770/2014_1348</t>
  </si>
  <si>
    <t>Técnico superior en imagen para el Diagnóstico (RD_545/1995): Protección radiológica</t>
  </si>
  <si>
    <t>Técnico superior en Radioterapia (RD_544/1995): Protección radiológica</t>
  </si>
  <si>
    <t>RD_M_770/2014_1349</t>
  </si>
  <si>
    <t>Técnico superior en imagen para el Diagnóstico (RD_545/1995): Fundamentos y técnicas de exploración en radiología convencional</t>
  </si>
  <si>
    <t>RD_M_770/2014_1350</t>
  </si>
  <si>
    <t>RD_M_770/2014_1351</t>
  </si>
  <si>
    <t>Técnico superior en imagen para el Diagnóstico (RD_545/1995): Fundamentos y técnicas de exploración radiológica mediante equipos de digitalización de imágenes</t>
  </si>
  <si>
    <t>RD_M_770/2014_1352</t>
  </si>
  <si>
    <t>RD_M_770/2014_1353</t>
  </si>
  <si>
    <t>Técnico superior en imagen para el Diagnóstico (RD_545/1995): Fundamentos y técnicas de exploración en medicina nuclear</t>
  </si>
  <si>
    <t>RD_M_770/2014_1354</t>
  </si>
  <si>
    <t>RD_M_771/2014_1367</t>
  </si>
  <si>
    <t>RD_M_771/2014_1368</t>
  </si>
  <si>
    <t>Técnico superior en Laboratorio de Diagnóstico Clínico (RD_539/1995): Fundamentos y técnicas de análisis bioquímicos</t>
  </si>
  <si>
    <t>RD_M_771/2014_1371</t>
  </si>
  <si>
    <t>RD_M_771/2014_1373</t>
  </si>
  <si>
    <t>RD_M_771/2014_1374</t>
  </si>
  <si>
    <t>Técnico superior en Laboratorio de Diagnóstico Clínico (RD_539/1995): Fundamentos y técnicas de análisis hematológicos y citológicos</t>
  </si>
  <si>
    <t>RD_M_772/2014_1348</t>
  </si>
  <si>
    <t>RD_M_772/2014_1359</t>
  </si>
  <si>
    <t>Técnico superior en Radioterapia (RD_544/1995): Atención técnico-sanitaria al paciente</t>
  </si>
  <si>
    <t>RD_M_772/2014_1360</t>
  </si>
  <si>
    <t>Técnico superior en Radioterapia (RD_544/1995): Fundamentos y técnicas de tratamientos de teleterapia</t>
  </si>
  <si>
    <t>Técnico superior en Radioterapia (RD_544/1995): Fundamentos y técnicas de tratamientos de braquiterapia</t>
  </si>
  <si>
    <t>RD_M_772/2014_1361</t>
  </si>
  <si>
    <t>RD_M_772/2014_1362</t>
  </si>
  <si>
    <t>RD_M_779/2013_0017</t>
  </si>
  <si>
    <t>RD_M_779/2013_0344</t>
  </si>
  <si>
    <t>RD_M_779/2013_1128</t>
  </si>
  <si>
    <t>RD_M_831/2014_1113</t>
  </si>
  <si>
    <t>Técnico superior en Interpretación de la Lengua de Signos (RD_2060/1995): Psicosociología de la población sorda y sordociega + Guía-interpretación de personas sordociegas</t>
  </si>
  <si>
    <t>RD_M_831/2014_1114</t>
  </si>
  <si>
    <t>RD_M_831/2014_1115</t>
  </si>
  <si>
    <t>Técnico superior en Interpretación de la Lengua de Signos (RD_2060/1995): Lengua de Signos Española_(L.S.E.) + Expresión corporal aplicada al lenguaje de signos</t>
  </si>
  <si>
    <t>RD_M_831/2014_1116</t>
  </si>
  <si>
    <t>RD_M_831/2014_1118</t>
  </si>
  <si>
    <t>Técnico superior en Interpretación de la Lengua de Signos (RD_2060/1995): Aplicación de las técnicas de interpretación a la Lengua de Signos Española_(L.S.E.)</t>
  </si>
  <si>
    <t>RD_M_832/2014_1387</t>
  </si>
  <si>
    <t>RD_M_832/2014_1388</t>
  </si>
  <si>
    <t>Técnico superior en fabricación de productos farmacéuticos y afines (RD_810/1993): Control de calidad en la industria farmacéutica</t>
  </si>
  <si>
    <t>RD_M_832/2014_1389</t>
  </si>
  <si>
    <t>Técnico superior en fabricación de productos farmacéuticos y afines (RD_810/1993): Proceso farmacéutico</t>
  </si>
  <si>
    <t>RD_M_832/2014_1391</t>
  </si>
  <si>
    <t>RD_M_832/2014_1392</t>
  </si>
  <si>
    <t>Técnico superior en fabricación de productos farmacéuticos y afines (RD_810/1993): Areas y servicios de planta farmacéutica</t>
  </si>
  <si>
    <t>RD_M_832/2014_1394</t>
  </si>
  <si>
    <t>Técnico superior en Desarrollo de Productos Electrónicos (RD_620/1995): Electrónica analógica + Lógica digital y microprogramable</t>
  </si>
  <si>
    <t>Técnico en Fabricación a Medida e Instalación de Carpintería y Mueble (RD_732/1994): Definición de soluciones en carpintería y mueble a medida</t>
  </si>
  <si>
    <t>RD_M_880/2011_0540</t>
  </si>
  <si>
    <t>Técnico en Fabricación Industrial de Carpintería y Mueble (RD_731/1994): Mecanizado industrial de la madera</t>
  </si>
  <si>
    <t>RD_M_880/2011_0541</t>
  </si>
  <si>
    <t>RD_M_880/2011_0779</t>
  </si>
  <si>
    <t>Técnico en Fabricación a Medida e Instalación de Carpintería y Mueble (RD_732/1994): Instalación y acabado en carpintería y mueble a medida</t>
  </si>
  <si>
    <t>RD_M_880/2011_0780</t>
  </si>
  <si>
    <t>RD_M_880/2011_0781</t>
  </si>
  <si>
    <t>RD_M_881/2011_0744</t>
  </si>
  <si>
    <t>Técnico superior en Estética (RD_628/1995): Electroestética</t>
  </si>
  <si>
    <t>RD_M_881/2011_0745</t>
  </si>
  <si>
    <t>Técnico superior en Estética (RD_628/1995): Estética hidrotermal</t>
  </si>
  <si>
    <t>RD_M_881/2011_0746</t>
  </si>
  <si>
    <t>Técnico superior en Estética (RD_628/1995): Depilación</t>
  </si>
  <si>
    <t>RD_M_881/2011_0747</t>
  </si>
  <si>
    <t>Técnico superior en Estética (RD_628/1995): Masaje</t>
  </si>
  <si>
    <t>RD_M_881/2011_0748</t>
  </si>
  <si>
    <t>RD_M_881/2011_0749</t>
  </si>
  <si>
    <t>Técnico superior en Estética (RD_628/1995): Microimplantación de pigmentos</t>
  </si>
  <si>
    <t>RD_M_881/2011_0750</t>
  </si>
  <si>
    <t>RD_M_881/2011_0751</t>
  </si>
  <si>
    <t>Técnico superior en Estética (RD_628/1995): Diagnóstico y protocolo de procesos de estética integral</t>
  </si>
  <si>
    <t>RD_M_881/2011_0752</t>
  </si>
  <si>
    <t>Técnico superior en Estética (RD_628/1995): Cosmetología aplicada a la estética integral</t>
  </si>
  <si>
    <t>Técnico superior en producción por fundición y Pulvimetalurgia (RD_2418/1994): Definición de procesos de fundición y pulvimetalurgia + Ejecución de procesos de fundición + Ejecución de procesos de pulvimetalurgia</t>
  </si>
  <si>
    <t>Técnico superior en plásticos y caucho (RD_813/1993): Organización y control del proceso de la producción + Instalaciones de transformación de plásticos y caucho + Procesado de plásticos
+
Procesado del caucho</t>
  </si>
  <si>
    <t>Técnico superior en plásticos y caucho (RD_813/1993): Instalaciones de transformación de plásticos y caucho</t>
  </si>
  <si>
    <t>RD_M_882/2011_0165</t>
  </si>
  <si>
    <t>Técnico superior en plásticos y caucho (RD_813/1993): Control de calidad en transformación de plásticos y caucho</t>
  </si>
  <si>
    <t>RD_M_882/2011_0531</t>
  </si>
  <si>
    <t>RD_M_882/2011_0532</t>
  </si>
  <si>
    <t>RD_M_882/2011_0533</t>
  </si>
  <si>
    <t>RD_M_883/2011_0525</t>
  </si>
  <si>
    <t>Técnico superior en Sistemas de Telecomunicación e Informáticos (RD_622/1995): Desarrollo de sistemas de telecomunicación e informáticos</t>
  </si>
  <si>
    <t>Técnico superior en Sistemas de Telecomunicación e Informáticos (RD_622/1995): Arquitectura de equipos y sistemas informáticos + Sistemas operativos y lenguajes de programación</t>
  </si>
  <si>
    <t>RD_M_883/2011_0553</t>
  </si>
  <si>
    <t>RD_M_883/2011_0554</t>
  </si>
  <si>
    <t>Técnico superior en Sistemas de Telecomunicación e Informáticos (RD_622/1995): Sistemas de radio y televisión</t>
  </si>
  <si>
    <t>RD_M_883/2011_0555</t>
  </si>
  <si>
    <t>Técnico superior en Sistemas de Telecomunicación e Informáticos (RD_622/1995): Sistemas telemáticos</t>
  </si>
  <si>
    <t>RD_M_883/2011_0601</t>
  </si>
  <si>
    <t>Técnico superior en Sistemas de Telecomunicación e Informáticos (RD_622/1995): Gestión del desarrollo de sistemas de telecomunicación e informáticos</t>
  </si>
  <si>
    <t>RD_M_883/2011_0713</t>
  </si>
  <si>
    <t>Técnico superior en Sistemas de Telecomunicación e Informáticos (RD_622/1995): Sistemas de telefonía</t>
  </si>
  <si>
    <t>RD_M_905/2013_0325</t>
  </si>
  <si>
    <t>Técnico superior en Ortoprotésica (RD_542/1995): Fundamentos de tecnología industrial</t>
  </si>
  <si>
    <t>RD_M_905/2013_0326</t>
  </si>
  <si>
    <t>Técnico superior en Ortoprotésica (RD_542/1995): Diseñar ortesis, prótesis, ortoprótesis y ayudas técnicas</t>
  </si>
  <si>
    <t>RD_M_905/2013_0327</t>
  </si>
  <si>
    <t>Técnico superior en Ortoprotésica (RD_542/1995): Definición de procesos y programación del trabajo + Elaborar productos ortoprotésicos a medida + Adaptación de productos ortoprotésicos y ayudas técnicas</t>
  </si>
  <si>
    <t>RD_M_905/2013_0328</t>
  </si>
  <si>
    <t>RD_M_905/2013_0329</t>
  </si>
  <si>
    <t>RD_M_905/2013_0330</t>
  </si>
  <si>
    <t>RD_M_905/2013_0331</t>
  </si>
  <si>
    <t>Técnico superior en Ortoprotésica (RD_542/1995): Fisiopatología aplicada a la elaboración de ortoprótesis</t>
  </si>
  <si>
    <t>RD_M_954/2008_0165</t>
  </si>
  <si>
    <t>RD_M_954/2008_0276</t>
  </si>
  <si>
    <t>RD_M_954/2008_0278</t>
  </si>
  <si>
    <t>RD_M_954/2008_0280</t>
  </si>
  <si>
    <t>RD_M_954/2008_0283</t>
  </si>
  <si>
    <t>Técnico superior en Procesos de Confección Industrial (RD_737/1994): Productos de confección</t>
  </si>
  <si>
    <t>RD_M_954/2008_0284</t>
  </si>
  <si>
    <t>RD_M_954/2008_0285</t>
  </si>
  <si>
    <t>RD_M_954/2008_0286</t>
  </si>
  <si>
    <t>RD_M_955/2008_0267</t>
  </si>
  <si>
    <t>RD_M_955/2008_0269</t>
  </si>
  <si>
    <t>RD_M_955/2008_0270</t>
  </si>
  <si>
    <t>Técnico en Confección (RD_743/1994): Acabados de confección</t>
  </si>
  <si>
    <t>RD_M_955/2008_0275</t>
  </si>
  <si>
    <t>Fabr. de prod. farmacéuticos, biotecnológicos y afines</t>
  </si>
  <si>
    <t>Alumnado_0003</t>
  </si>
  <si>
    <t>Alumnado_0004</t>
  </si>
  <si>
    <t>Alumnado_0005</t>
  </si>
  <si>
    <t>Alumnado_0006</t>
  </si>
  <si>
    <t>Alumnado_0007</t>
  </si>
  <si>
    <t>Alumnado_0008</t>
  </si>
  <si>
    <t>Alumnado_0009</t>
  </si>
  <si>
    <t>Alumnado_0015</t>
  </si>
  <si>
    <t>Alumnado_0021</t>
  </si>
  <si>
    <t>Alumnado_0024</t>
  </si>
  <si>
    <t>Alumnado_0028</t>
  </si>
  <si>
    <t>Alumnado_0039</t>
  </si>
  <si>
    <t>Alumnado_0040</t>
  </si>
  <si>
    <t>****7274Z</t>
  </si>
  <si>
    <t>****9260P</t>
  </si>
  <si>
    <t>****1236K</t>
  </si>
  <si>
    <t>****3665O</t>
  </si>
  <si>
    <t>****2423Q</t>
  </si>
  <si>
    <t>****0249D</t>
  </si>
  <si>
    <t>****6498O</t>
  </si>
  <si>
    <t>****3439W</t>
  </si>
  <si>
    <t>****4082C</t>
  </si>
  <si>
    <t>****3784F</t>
  </si>
  <si>
    <t>****7569K</t>
  </si>
  <si>
    <t>****3685J</t>
  </si>
  <si>
    <t>****9036I</t>
  </si>
  <si>
    <t>****8341A</t>
  </si>
  <si>
    <t>****9884O</t>
  </si>
  <si>
    <t>****2214K</t>
  </si>
  <si>
    <t>****1235Y</t>
  </si>
  <si>
    <t>****1265E</t>
  </si>
  <si>
    <t>****9653M</t>
  </si>
  <si>
    <t>****6977T</t>
  </si>
  <si>
    <t>****7486L</t>
  </si>
  <si>
    <t>****7892R</t>
  </si>
  <si>
    <t>****3513U</t>
  </si>
  <si>
    <t>****2831D</t>
  </si>
  <si>
    <t>****1043O</t>
  </si>
  <si>
    <t>****9612D</t>
  </si>
  <si>
    <t>****2177G</t>
  </si>
  <si>
    <t>****4013N</t>
  </si>
  <si>
    <t>****1106W</t>
  </si>
  <si>
    <t>****4717C</t>
  </si>
  <si>
    <t>****2559B</t>
  </si>
  <si>
    <t>****2172M</t>
  </si>
  <si>
    <t>****2845R</t>
  </si>
  <si>
    <t>****7501A</t>
  </si>
  <si>
    <t>****5382X</t>
  </si>
  <si>
    <t>****4744I</t>
  </si>
  <si>
    <t>****0299T</t>
  </si>
  <si>
    <t>****9438E</t>
  </si>
  <si>
    <t>****0667E</t>
  </si>
  <si>
    <t>****0663I</t>
  </si>
  <si>
    <t>****3354H</t>
  </si>
  <si>
    <t>****7440O</t>
  </si>
  <si>
    <t>****3060Q</t>
  </si>
  <si>
    <t>****6615H</t>
  </si>
  <si>
    <t>****8588C</t>
  </si>
  <si>
    <t>****6174R</t>
  </si>
  <si>
    <t>RD1</t>
  </si>
  <si>
    <t>RD2</t>
  </si>
  <si>
    <t>Real Decreto 2211/1993, de 17 de diciembre</t>
  </si>
  <si>
    <t>Real Decreto 2211/1993, de 17 de diciembre, por el que se establece el título de Técnico en Acabados de Construcción y las correspondientes enseñanzas mínimas.</t>
  </si>
  <si>
    <t>Real Decreto 1798/2008, de 3 de noviembre, por el que se establece el título de Técnico en Aceites de Oliva y Vinos y se fijan sus enseñanzas mínimas</t>
  </si>
  <si>
    <t>Real Decreto 1688/2011, de 18 de noviembre, por el que se establece el título de Técnico en Actividades Comerciales y se fijan sus enseñanzas mínimas</t>
  </si>
  <si>
    <t>Técnico en Actividades Ecuestres</t>
  </si>
  <si>
    <t>Real Decreto 652/2017, de 23 de junio</t>
  </si>
  <si>
    <t>Real Decreto 652/2017, de 23 de junio, por el que se establece el título de Técnico en Actividades Ecuestres y se fijan los aspectos básicos del currículo</t>
  </si>
  <si>
    <t>Real Decreto 1071/2012, de 13 de julio, por el que se establece el título de Técnico en Aprovechamiento y Conservación del Medio Natural y se fijan sus enseñanzas mínimas</t>
  </si>
  <si>
    <t>Real Decreto 1593/2011, de 4 de noviembre, por el que se establece el Título de Técnico en Atención a Personas en Situación de Dependencia y se fijan sus enseñanzas mínimas</t>
  </si>
  <si>
    <t>Real Decreto 496/2003, de 2 de mayo</t>
  </si>
  <si>
    <t>Real Decreto 496/2003, de 2 de mayo, por el que se establece el título de Técnico en Atención Sociosanitaria y las correspondientes enseñanzas comunes.</t>
  </si>
  <si>
    <t>Real Decreto 727/1994, de 22 de abril</t>
  </si>
  <si>
    <t>Real Decreto 727/1994, de 22 de abril, por el que se establece el Título de Técnico en Buceo de Media Profundidad y las correspondientes enseñanzas mínimas.</t>
  </si>
  <si>
    <t>Real Decreto 257/2011, de 28 de febrero, por el que se establece el título de Técnico en Calzado y Complementos de Moda y se fijan sus enseñanzas mínimas</t>
  </si>
  <si>
    <t>Real Decreto 742/1994, de 22 de abril</t>
  </si>
  <si>
    <t>Real Decreto 742/1994, de 22 de abril, por el que se establece el título de Técnico en Calzado y Marroquinería y las correspondientes enseñanzas mínimas.</t>
  </si>
  <si>
    <t>Técnico en caracterización</t>
  </si>
  <si>
    <t>Real Decreto 631/1995, de 21 de abril</t>
  </si>
  <si>
    <t>Real Decreto 631/1995, de 21 de abril, por el que se establece el título de Técnico en caracterización y las correspondientes enseñanzas mínimas.</t>
  </si>
  <si>
    <t>Real Decreto 1128/2010, de 10 de septiembre, por el que se establece el título de Técnico en Carpintería y Mueble y se fijan sus enseñanzas mínimas</t>
  </si>
  <si>
    <t>Real Decreto 1650/1994, de 22 de julio</t>
  </si>
  <si>
    <t>Real Decreto 1650/1994, de 22 de julio, por el que se establece el título de Técnico en Carrocería y las correspondientes enseñanzas mínimas.</t>
  </si>
  <si>
    <t>Real Decreto 176/2008, de 8 de febrero, por el que se establece el título de Técnico en Carrocería y se fijan sus enseñanzas mínimas</t>
  </si>
  <si>
    <t>Real Decreto 2219/1993, de 17 de diciembre</t>
  </si>
  <si>
    <t>Real Decreto 2219/1993, de 17 de diciembre, por el que se establece el título de Técnico en Cocina y las correspondientes enseñanzas mínimas.</t>
  </si>
  <si>
    <t>Real Decreto 1396/2007, de 29 de octubre, por el que se establece el título de Técnico en Cocina y Gastronomía y se fijan sus enseñanzas mínimas</t>
  </si>
  <si>
    <t>Técnico en Comercialización de Productos Alimentarios</t>
  </si>
  <si>
    <t>Real Decreto 189/2018, de 6 de abril</t>
  </si>
  <si>
    <t>Real Decreto 189/2018, de 6 de abril, por el que se establece el título de Técnico en Comercialización de Productos Alimentarios y se fijan los aspectos básicos del currículo</t>
  </si>
  <si>
    <t>Técnico en Comercialización de productos alimentarios</t>
  </si>
  <si>
    <t>Real Decreto 1655/1994, de 22 de julio</t>
  </si>
  <si>
    <t>Real Decreto 1655/1994, de 22 de julio, por el que se establece el título de Técnico en Comercio y las correspondientes enseñanzas mínimas.</t>
  </si>
  <si>
    <t>Técnico en Conducción de Actividades Físico-Deportivas en el Medio Natural</t>
  </si>
  <si>
    <t>Real Decreto 2049/1995, de 22 de diciembre</t>
  </si>
  <si>
    <t>Real Decreto 2049/1995, de 22 de diciembre, por el que se establece el título de Técnico en Conducción de Actividades Físico-Deportivas en el Medio Natural y las correspondientes enseñanzas mínimas.</t>
  </si>
  <si>
    <t>Real Decreto 555/2012, de 23 de marzo, por el que se establece el título de Técnico en Conducción de Vehículos de Transporte por Carretera y se fijan sus enseñanzas mínimas</t>
  </si>
  <si>
    <t>Real Decreto 743/1994, de 22 de abril</t>
  </si>
  <si>
    <t>Real Decreto 743/1994, de 22 de abril, por el que se establece el título de Técnico en Confección y las correspondientes enseñanzas mínimas.</t>
  </si>
  <si>
    <t>Real Decreto 955/2008, de 6 de junio, por el que se establece el título de Técnico en Confección y Moda y se fijan sus enseñanzas mínimas</t>
  </si>
  <si>
    <t>Real Decreto 387/2011, de 18 de marzo, por el que se establece el título de Técnico en Conformado por Moldeo de Metales y Polímeros y se fijan sus enseñanzas mínimas</t>
  </si>
  <si>
    <t>Real Decreto 2052/1995, de 22 de diciembre</t>
  </si>
  <si>
    <t>Real Decreto 2052/1995, de 22 de diciembre, por el que se establece el título de Técnico en Conservería Vegetal, Cárnica y de Pescado y las correspondientes enseñanzas mínimas.</t>
  </si>
  <si>
    <t>Real Decreto 1575/2011, de 4 de noviembre, por el que se establece el Título de Técnico en Construcción y se fijan sus enseñanzas mínimas</t>
  </si>
  <si>
    <t>Real Decreto 546/1995, de 7 de abril, por el que se establece el título de Técnico en Cuidados Auxiliares de Enfermería y las correspondientes enseñanzas mínimas</t>
  </si>
  <si>
    <t>Real Decreto 254/2011, de 28 de febrero, por el que se establece el título de Técnico en Cultivos Acuícolas y se fijan sus enseñanzas mínimas</t>
  </si>
  <si>
    <t>Real Decreto 2053/1995, de 22 de diciembre</t>
  </si>
  <si>
    <t>Real Decreto 2053/1995, de 22 de diciembre, por el que se establece el título de Técnico en Elaboración de Aceites y Jugos y las correspondientes enseñanzas mínimas.</t>
  </si>
  <si>
    <t>Real Decreto 452/2010, de 16 de abril, por el que se establece el título de Técnico en Elaboración de productos alimenticios y se fijan sus enseñanzas mínimas</t>
  </si>
  <si>
    <t>Real Decreto 2054/1995, de 22 de diciembre</t>
  </si>
  <si>
    <t>Real Decreto 2054/1995, de 22 de diciembre, por el que se establece el título de Técnico en Elaboración de Productos Lácteos y las correspondientes enseñanzas mínimas.</t>
  </si>
  <si>
    <t>Real Decreto 2055/1995, de 22 de diciembre</t>
  </si>
  <si>
    <t>Real Decreto 2055/1995, de 22 de diciembre, por el que se establece el título de Técnico en Elaboración de Vinos y Otras Bebidas y las correspondientes enseñanzas mínimas.</t>
  </si>
  <si>
    <t>Real Decreto 255/2011, de 28 de febrero, por el que se establece el título de Técnico en Electromecánica de Maquinaria y se fijan sus enseñanzas mínimas</t>
  </si>
  <si>
    <t>Real Decreto 1649/1994, de 22 de julio</t>
  </si>
  <si>
    <t>Real Decreto 1649/1994, de 22 de julio, por el que se establece el título de Técnico en Electromecánica de Vehículos y las correspondientes enseñanzas mínimas.</t>
  </si>
  <si>
    <t>Real Decreto 453/2010, de 16 de abril, por el que se establece el título de Técnico en Electromecánica de Vehículos Automóviles y se fijan sus enseñanzas mínimas</t>
  </si>
  <si>
    <t>Real Decreto 1397/2007, de 29 de octubre, por el que se establece el título de Técnico en Emergencias Sanitarias y se fijan sus enseñanzas mínimas</t>
  </si>
  <si>
    <t>Técnico en Emergencias y Protección Civil</t>
  </si>
  <si>
    <t>Real Decreto 907/2013, de 22 de noviembre</t>
  </si>
  <si>
    <t>Real Decreto 907/2013, de 22 de noviembre, por el que se establece el título de Técnico en Emergencias y Protección Civil y se fijan sus enseñanzas mínimas</t>
  </si>
  <si>
    <t>Real Decreto 2426/1994, de 16 de diciembre</t>
  </si>
  <si>
    <t>Real Decreto 2426/1994, de 16 de diciembre, por el que se establece el titulo de Técnico en Encuadernación y Manipulados de Papel y Cartón y las correspondientes enseñanzas mínimas.</t>
  </si>
  <si>
    <t>Real Decreto 623/1995, de 21 de abril</t>
  </si>
  <si>
    <t>Real Decreto 623/1995, de 21 de abril, por el que se establece el título de Técnico en Equipos e Instalaciones Electrotécnicas y las correspondientes enseñanzas mínimas.</t>
  </si>
  <si>
    <t>Real Decreto 624/1995, de 21 de abril</t>
  </si>
  <si>
    <t>Real Decreto 624/1995, de 21 de abril, por el que se establece el título de Técnico en Equipos Electrónicos de Consumo y las correspondientes enseñanzas mínimas.</t>
  </si>
  <si>
    <t>Real Decreto 630/1995, de 21 de abril</t>
  </si>
  <si>
    <t>Real Decreto 630/1995, de 21 de abril, por el que se establece el título de Técnico en Estética Personal Decorativa y las correspondientes enseñanzas mínimas.</t>
  </si>
  <si>
    <t>Real Decreto 256/2011, de 28 de febrero, por el que se establece el título de Técnico en Estética y Belleza y se fijan sus enseñanzas mínimas</t>
  </si>
  <si>
    <t>Técnico en Excavaciones y Sondeos</t>
  </si>
  <si>
    <t>Real Decreto 1592/2011, de 4 de noviembre</t>
  </si>
  <si>
    <t>Real Decreto 1592/2011, de 4 de noviembre, por el que se establece el Título de Técnico en Excavaciones y Sondeos y se fijan sus enseñanzas mínimas</t>
  </si>
  <si>
    <t>Real Decreto 497/2003, de 2 de mayo</t>
  </si>
  <si>
    <t>Real Decreto 497/2003, de 2 de mayo, por el que se establece el título de Técnico en Explotación de Sistemas Informáticos y las correspondientes enseñanzas comunes.</t>
  </si>
  <si>
    <t>Real Decreto 1715/1996, de 12 de julio</t>
  </si>
  <si>
    <t>Real Decreto 1715/1996, de 12 de julio, por el que se establece el título de Técnico en Explotaciones Agrarias Extensivas y las correspondientes enseñanzas mínimas.</t>
  </si>
  <si>
    <t>Real Decreto 1716/1996, de 12 de julio</t>
  </si>
  <si>
    <t>Real Decreto 1716/1996, de 12 de julio, por el que se establece el título de Técnico en Explotaciones Agrícolas Intensivas y las correspondientes enseñanzas mínimas.</t>
  </si>
  <si>
    <t>Real Decreto 1717/1996, de 12 de julio</t>
  </si>
  <si>
    <t>Real Decreto 1717/1996, de 12 de julio, por el que se establece el título de Técnico en Explotaciones Ganaderas y las correspondientes enseñanzas mínimas.</t>
  </si>
  <si>
    <t>Real Decreto 732/1994, de 22 de abril</t>
  </si>
  <si>
    <t>Real Decreto 732/1994, de 22 de abril, por el que se establece el título de Técnico en Fabricación a Medida e Instalación de Carpintería y Mueble y las correspondientes enseñanzas mínimas.</t>
  </si>
  <si>
    <t>Real Decreto 454/2010, de 16 de abril, por el que se establece el título de Técnico en Fabricación de Productos Cerámicos.</t>
  </si>
  <si>
    <t>Real Decreto 731/1994, de 22 de abril</t>
  </si>
  <si>
    <t>Real Decreto 731/1994, de 22 de abril, por el que se establece el título de Técnico en Fabricación Industrial de Carpintería y Mueble y las correspondientes enseñanzas mínimas.</t>
  </si>
  <si>
    <t>Real Decreto 1591/2011, de 4 de noviembre, por el que se establece el Título de Técnico en Fabricación y Ennoblecimiento de Productos Textiles y se fijan sus enseñanzas mínimas</t>
  </si>
  <si>
    <t>Real Decreto 547/1995, de 7 de abril</t>
  </si>
  <si>
    <t>Real Decreto 547/1995, de 7 de abril, por el que se establece el título de Técnico en Farmacia y las correspondientes enseñanzas mínimas.</t>
  </si>
  <si>
    <t>Real Decreto 1689/2007, de 14 de diciembre, por el que se establece el título de Técnico en Farmacia y Parafarmacia y se fijan sus enseñanzas mínimas</t>
  </si>
  <si>
    <t>Real Decreto 2421/1994, de 16 de diciembre</t>
  </si>
  <si>
    <t>Real Decreto 2421/1994, de 16 de diciembre, por el que se establece el titulo de Técnico en Fundición y las correspondientes enseñanzas mínimas.</t>
  </si>
  <si>
    <t>Real Decreto 1662/1994, de 22 de julio</t>
  </si>
  <si>
    <t>Real Decreto 1662/1994, de 22 de julio, por el que se establece el título de Técnico en Gestión Administrativa y las correspondientes enseñanzas mínimas.</t>
  </si>
  <si>
    <t>Real Decreto 1631/2009, de 30 de octubre, por el que se establece el título de Técnico en Gestión Administrativa y se fijan sus enseñanzas mínimas</t>
  </si>
  <si>
    <t>Técnico en Guía en el medio natural y de tiempo libre</t>
  </si>
  <si>
    <t>Real Decreto 402/2020, de 25 de febrero</t>
  </si>
  <si>
    <t>Real Decreto 402/2020, de 25 de febrero, por el que se establece el título de Técnico en Guía en el medio natural y de tiempo libre y se fijan los aspectos básicos del currículo</t>
  </si>
  <si>
    <t>Real Decreto 2425/1994, de 16 de diciembre</t>
  </si>
  <si>
    <t>Real Decreto 2425/1994, de 16 de diciembre, por el que se establece el titulo de Técnico en Impresión en Artes Graficas y las correspondientes enseñanzas mínimas.</t>
  </si>
  <si>
    <t>Real Decreto 1590/2011, de 4 de noviembre, por el que se establece el Título de Técnico en Impresión Gráfica y se fijan sus enseñanzas mínimas</t>
  </si>
  <si>
    <t>Real Decreto 880/2011, de 24 de junio, por el que se establece el título de Técnico en Instalación y Amueblamiento y se fijan sus enseñanzas mínimas</t>
  </si>
  <si>
    <t>Real Decreto 2045/1995, de 22 de diciembre</t>
  </si>
  <si>
    <t>Real Decreto 2045/1995, de 22 de diciembre, por el que se establece el título de Técnico en Instalación y Mantenimiento Electromecánico de Maquinaria y Conducción de Lineas y las correspondientes enseñanzas mínimas.</t>
  </si>
  <si>
    <t>Real Decreto 1792/2010, de 30 de diciembre, por el que se establece el título de Técnico en Instalaciones de Producción de Calor y se fijan sus enseñanzas mínimas</t>
  </si>
  <si>
    <t>Real Decreto 1632/2009, de 30 de octubre, por el que se establece el título de Técnico en Instalaciones de Telecomunicaciones y se fijan sus enseñanzas mínimas</t>
  </si>
  <si>
    <t>Real Decreto 177/2008, de 8 de febrero, por el que se establece el título de Técnico en Instalaciones Eléctricas y Automáticas y se fijan sus enseñanzas mínimas</t>
  </si>
  <si>
    <t>Real Decreto 1793/2010, de 30 de diciembre, por el que se establece el título de Técnico en Instalaciones Frigoríficas y de Climatización y se fijan sus enseñanzas mínimas</t>
  </si>
  <si>
    <t>Real Decreto 1714/1996, de 12 de julio</t>
  </si>
  <si>
    <t>Real Decreto 1714/1996, de 12 de julio, por el que se establece el título de Técnico en Jardinería y las correspondientes enseñanzas mínimas.</t>
  </si>
  <si>
    <t>Real Decreto 1129/2010, de 10 de septiembre, por el que se establece el título de Técnico en Jardinería y Floristería y se fijan sus enseñanzas mínimas</t>
  </si>
  <si>
    <t>Técnico en Joyería</t>
  </si>
  <si>
    <t>Real Decreto 498/2003, de 2 de mayo</t>
  </si>
  <si>
    <t>Real Decreto 498/2003, de 2 de mayo, por el que se establece el título de Técnico en Joyería y las correspondientes enseñanzas comunes</t>
  </si>
  <si>
    <t>Real Decreto 817/1993, de 28 de mayo</t>
  </si>
  <si>
    <t>Real Decreto 817/1993, de 28 de mayo, por el que se establece el título de Técnico en Laboratorio y las correspondientes enseñanzas mínimas.</t>
  </si>
  <si>
    <t>Real Decreto 2037/1995, de 22 de diciembre</t>
  </si>
  <si>
    <t>Real Decreto 2037/1995, de 22 de diciembre, por el que se establece el título de Técnico en Laboratorio de Imagen y las correspondientes enseñanzas mínimas.</t>
  </si>
  <si>
    <t>Técnico en Mantenimiento de embarcaciones de recreo</t>
  </si>
  <si>
    <t>Real Decreto 91/2018, de 2 de marzo</t>
  </si>
  <si>
    <t>Real Decreto 91/2018, de 2 de marzo, por el que se establece el título de Técnico en Mantenimiento de embarcaciones de recreo y se fijan los aspectos básicos del currículo</t>
  </si>
  <si>
    <t>Técnico en Mantenimiento de estructuras de madera y mobiliario de embarcaciones de recreo</t>
  </si>
  <si>
    <t>Real Decreto 90/2018, de 2 de marzo</t>
  </si>
  <si>
    <t>Real Decreto 90/2018, de 2 de marzo, por el que se establece el título de Técnico en Mantenimiento de estructuras de madera y mobiliario de embarcaciones de recreo y se fijan los aspectos básicos del currículo</t>
  </si>
  <si>
    <t>Real Decreto 1145/2012, de 27 de julio, por el que se establece el título de Técnico en Mantenimiento de Material Rodante Ferroviario y se fijan sus enseñanzas mínimas</t>
  </si>
  <si>
    <t>Real Decreto 1589/2011, de 4 de noviembre, por el que se establece el Título de Técnico en Mantenimiento Electromecánico y se fijan sus enseñanzas mínimas</t>
  </si>
  <si>
    <t>Real Decreto 2047/1995, de 22 de diciembre</t>
  </si>
  <si>
    <t>Real Decreto 2047/1995, de 22 de diciembre, por el que se establece el título de Técnico en Mantenimiento Ferroviario y las correspondientes enseñanzas mínimas.</t>
  </si>
  <si>
    <t>Real Decreto 1072/2012, de 13 de julio, por el que se establece el título de Técnico en Mantenimiento y Control de la Maquinaria de Buques y Embarcaciones y se fijan sus enseñanzas mínimas</t>
  </si>
  <si>
    <t>Real Decreto 2051/1995, de 22 de diciembre</t>
  </si>
  <si>
    <t>Real Decreto 2051/1995, de 22 de diciembre, por el que se establece el título de Técnico en Matadero y Carnicería-Charcutería y las correspondientes enseñanzas mínimas.</t>
  </si>
  <si>
    <t>Real Decreto 1398/2007, de 29 de octubre, por el que se establece el título de Técnico en Mecanizado y se fijan sus enseñanzas mínimas</t>
  </si>
  <si>
    <t>Real Decreto 2419/1994, de 16 de diciembre</t>
  </si>
  <si>
    <t>Real Decreto 2419/1994, de 16 de diciembre, por el que se establece el titulo de Técnico en Mecanizado y las correspondientes enseñanzas mínimas.</t>
  </si>
  <si>
    <t>Real Decreto 2056/1995, de 22 de diciembre</t>
  </si>
  <si>
    <t>Real Decreto 2056/1995, de 22 de diciembre, por el que se establece el título de Técnico en Molinería e Industrias Cerealistas y las correspondientes enseñanzas mínimas.</t>
  </si>
  <si>
    <t>Técnico en Montaje de estructuras e instalación de sistemas aeronáuticos</t>
  </si>
  <si>
    <t>Real Decreto 74/2018, de 19 de febrero</t>
  </si>
  <si>
    <t>Real Decreto 74/2018, de 19 de febrero, por el que se establece el título de Técnico en Montaje de estructuras e instalación de sistemas aeronáuticos y se fijan los aspectos básicos del currículo</t>
  </si>
  <si>
    <t>Real Decreto 2046/1995, de 22 de diciembre</t>
  </si>
  <si>
    <t>Real Decreto 2046/1995, de 22 de diciembre, por el que se establece el título de Técnico en Montaje y Mantenimiento de Instalaciones de Frío, Climatización y Producción de Calor y las correspondientes enseñanzas mínimas.</t>
  </si>
  <si>
    <t>Real Decreto 1144/2012, de 27 de julio, por el que se establece el título de Técnico en Navegación y Pesca de Litoral y se fijan sus enseñanzas mínimas</t>
  </si>
  <si>
    <t>Real Decreto 2212/1993, de 17 de diciembre</t>
  </si>
  <si>
    <t>Real Decreto 2212/1993, de 17 de diciembre, por el que se establece el título de Técnico en Obras de Albañilería y las correspondientes enseñanzas mínimas.</t>
  </si>
  <si>
    <t>Real Decreto 2213/1993, de 17 de diciembre</t>
  </si>
  <si>
    <t>Real Decreto 2213/1993, de 17 de diciembre, por el que se establece el título de Técnico en Obras de Hormigón y las correspondientes enseñanzas mínimas.</t>
  </si>
  <si>
    <t>Real Decreto 1689/2011, de 18 de noviembre, por el que se establece el título de Técnico en Obras de Interior, Decoración y Rehabilitación y se fijan sus enseñanzas mínimas</t>
  </si>
  <si>
    <t>Técnico en Operación y Mantenimiento de Maquinaria de Construcción</t>
  </si>
  <si>
    <t>Real Decreto 2214/1993, de 17 de diciembre</t>
  </si>
  <si>
    <t>Real Decreto 2214/1993, de 17 de diciembre, por el que se establece el título de Técnico en Operación y Mantenimiento de Maquinaria de Construcción y las correspondientes enseñanzas mínimas.</t>
  </si>
  <si>
    <t>Real Decreto 725/1994, de 22 de abril</t>
  </si>
  <si>
    <t>Real Decreto 725/1994, de 22 de abril, por el que se establece el título de Técnico en Operación, Control y Mantenimiento de Máquinas e Instalaciones del Buque y las correspondientes enseñanzas mínimas.</t>
  </si>
  <si>
    <t>Real Decreto 726/1994, de 22 de abril</t>
  </si>
  <si>
    <t>Real Decreto 726/1994, de 22 de abril, por el que se establece el título de Técnico en Operaciones de Cultivo Acuícola y las correspondientes enseñanzas mínimas.</t>
  </si>
  <si>
    <t>Real Decreto 741/1994, de 22 de abril</t>
  </si>
  <si>
    <t>Real Decreto 741/1994, de 22 de abril, por el que se establece el título de Técnico en Operaciones de Ennoblecimiento Textil y las correspondientes enseñanzas mínimas.</t>
  </si>
  <si>
    <t>Real Decreto 2040/1995, de 22 de diciembre</t>
  </si>
  <si>
    <t>Real Decreto 2040/1995, de 22 de diciembre, por el que se establece el título de Técnico en Operaciones de Fabricación de Productos Cerámicos y las correspondientes enseñanzas mínimas.</t>
  </si>
  <si>
    <t>Real Decreto 816/1993, de 28 de mayo</t>
  </si>
  <si>
    <t>Real Decreto 816/1993, de 28 de mayo, por el que se establece el título de Técnico en operaciones de fabricación de productos farmacéuticos y las correspondientes enseñanzas mínimas.</t>
  </si>
  <si>
    <t>Técnico en Operaciones de Fabricación de Vidrio y Transformados</t>
  </si>
  <si>
    <t>Real Decreto 2041/1995, de 22 de diciembre</t>
  </si>
  <si>
    <t>Real Decreto 2041/1995, de 22 de diciembre, por el que se establece el título de Técnico en Operaciones de Fabricación de Vidrio y Transformados y las correspondientes enseñanzas mínimas.</t>
  </si>
  <si>
    <t>Real Decreto 554/2012, de 23 de marzo, por el que se establece el título de Técnico en Operaciones de Laboratorio y se fijan sus enseñanzas mínimas</t>
  </si>
  <si>
    <t>Real Decreto 815/1993, de 28 de mayo</t>
  </si>
  <si>
    <t>Real Decreto 815/1993, de 28 de mayo, por el que se establece el título de Técnico en operaciones de proceso de pasta y papel y las correspondientes enseñanzas minimas.</t>
  </si>
  <si>
    <t>Real Decreto 814/1993, de 28 de mayo</t>
  </si>
  <si>
    <t>Real Decreto 814/1993, de 28 de mayo, por el que se establece el título de Técnico en Operaciones de Proceso en Planta Química y las correspondientes enseñanzas mínimas.</t>
  </si>
  <si>
    <t>Real Decreto 818/1993, de 28 de mayo</t>
  </si>
  <si>
    <t>Real Decreto 818/1993, de 28 de mayo, por el que se establece el título de Técnico en operaciones de transformación de plásticos y caucho y las correspondientes enseñanzas mínimas.</t>
  </si>
  <si>
    <t>Real Decreto 1073/2012, de 13 de julio, por el que se establece el título de Técnico en Operaciones Subacuáticas e Hiperbáricas y se fijan sus enseñanzas mínimas</t>
  </si>
  <si>
    <t>Real Decreto 1399/2007, de 29 de octubre, por el que se establece el título de Técnico en Panadería, Repostería y Confitería y se fijan sus enseñanzas mínimas</t>
  </si>
  <si>
    <t>Real Decreto 2057/1995, de 22 de diciembre</t>
  </si>
  <si>
    <t>Real Decreto 2057/1995, de 22 de diciembre, por el que se establece el título de Técnico en Panificación y Repostería y las correspondientes enseñanzas mínimas.</t>
  </si>
  <si>
    <t>Real Decreto 2220/1993, de 17 de diciembre</t>
  </si>
  <si>
    <t>Real Decreto 2220/1993, de 17 de diciembre, por el que se establece el título de Técnico en Pastelería y Panadería y las correspondientes enseñanzas mínimas.</t>
  </si>
  <si>
    <t>Real Decreto 629/1995, de 21 de abril</t>
  </si>
  <si>
    <t>Real Decreto 629/1995, de 21 de abril, por el que se establece el título de Técnico en Peluquería y las correspondientes enseñanzas mínimas.</t>
  </si>
  <si>
    <t>Real Decreto 1588/2011, de 4 de noviembre, por el que se establece el Título de Técnico en Peluquería y Cosmética Capilar y se fijan sus enseñanzas mínimas</t>
  </si>
  <si>
    <t>Real Decreto 724/1994, de 22 de abril</t>
  </si>
  <si>
    <t>Real Decreto 724/1994, de 22 de abril, por el que se establece el título de Técnico en Pesca y Transporte Marítimo y las correspondientes enseñanzas mínimas.</t>
  </si>
  <si>
    <t>Real Decreto 1587/2011, de 4 de noviembre, por el que se establece el Título de Técnico en Piedra Natural y se fijan sus enseñanzas mínimas</t>
  </si>
  <si>
    <t>Real Decreto 178/2008, de 8 de febrero, por el que se establece el título de Técnico en Planta Química y se fijan sus enseñanzas mínimas</t>
  </si>
  <si>
    <t>Real Decreto 1683/2011, de 18 de noviembre, por el que se establece el título de Técnico en Postimpresión y Acabados Gráficos y se fijan sus enseñanzas mínimas</t>
  </si>
  <si>
    <t>Real Decreto 1586/2011, de 4 de noviembre, por el que se establece el Título de Técnico en Preimpresión Digital y se fijan sus enseñanzas mínimas</t>
  </si>
  <si>
    <t>Real Decreto 2424/1994, de 16 de diciembre</t>
  </si>
  <si>
    <t>Real Decreto 2424/1994, de 16 de diciembre, por el que se establece el titulo de Técnico en Preimpresión en Artes Graficas y las correspondientes enseñanzas mínimas.</t>
  </si>
  <si>
    <t>Técnico en Procesado y transformación de la madera</t>
  </si>
  <si>
    <t>Real Decreto 838/2020, de 15 de septiembre</t>
  </si>
  <si>
    <t>Real Decreto 838/2020, de 15 de septiembre, por el que se establece el título de Técnico en Procesado y transformación de la madera y se fijan los aspectos básicos del currículo</t>
  </si>
  <si>
    <t>Real Decreto 1633/2009, de 30 de octubre, por el que se establece el título de Técnico en Producción Agroecológica y se fijan sus enseñanzas mínimas</t>
  </si>
  <si>
    <t>Real Decreto 1634/2009, de 30 de octubre, por el que se establece el título de Técnico en Producción Agropecuaria y se fijan sus enseñanzas mínimas</t>
  </si>
  <si>
    <t>Real Decreto 739/1994, de 22 de abril</t>
  </si>
  <si>
    <t>Real Decreto 739/1994, de 22 de abril, por el que se establece el título de Técnico en Producción de Hilatura y Tejeduría de Calada y las correspondientes enseñanzas mínimas.</t>
  </si>
  <si>
    <t>Real Decreto 740/1994, de 22 de abril</t>
  </si>
  <si>
    <t>Real Decreto 740/1994, de 22 de abril, por el que se establece el título de Técnico en Producción de Tejidos de Punto y las correspondientes enseñanzas mínimas.</t>
  </si>
  <si>
    <t>Real Decreto 114/2017, de 17 de febrero, por el que se establece el título de Técnico en Redes y Estaciones de Tratamiento de Aguas y se fijan los aspectos básicos del currículo</t>
  </si>
  <si>
    <t>Técnico en Seguridad</t>
  </si>
  <si>
    <t>Real Decreto 570/2023, de 4 de julio</t>
  </si>
  <si>
    <t>Real Decreto 570/2023, de 4 de julio, por el que se establece el título de Técnico en Seguridad y se fijan los
aspectos básicos del currículo</t>
  </si>
  <si>
    <t>Real Decreto 2221/1993, de 17 de diciembre</t>
  </si>
  <si>
    <t>Real Decreto 2221/1993, de 17 de diciembre, por el que se establece el título de Técnico en Servicios de Restaurante y Bar y las correspondientes enseñanzas mínimas.</t>
  </si>
  <si>
    <t>Real Decreto 1690/2007, de 14 de diciembre, por el que se establece el título de Técnico en Servicios en Restauración y se fijan sus enseñanzas mínimas</t>
  </si>
  <si>
    <t>Real Decreto 1691/2007, de 14 de diciembre, por el que se establece el título de Técnico en Sistemas Microinformáticos y Redes y se fijan sus enseñanzas mínimas</t>
  </si>
  <si>
    <t>Real Decreto 1657/1994, de 22 de julio</t>
  </si>
  <si>
    <t>Real Decreto 1657/1994, de 22 de julio, por el que se establece el título de Técnico en Soldadura y Calderería y las correspondientes enseñanzas mínimas.</t>
  </si>
  <si>
    <t>Real Decreto 1692/2007, de 14 de diciembre, por el que se establece el título de Técnico en Soldadura y Calderería y se fijan sus enseñanzas mínimas</t>
  </si>
  <si>
    <t>Real Decreto 1713/1996, de 12 de julio</t>
  </si>
  <si>
    <t>Real Decreto 1713/1996, de 12 de julio, por el que se establece el título de Técnico en Trabajos Forestales y de Conservación del Medio Natural y las correspondientes enseñanzas mínimas.</t>
  </si>
  <si>
    <t>Real Decreto 730/1994, de 22 de abril</t>
  </si>
  <si>
    <t>Real Decreto 730/1994, de 22 de abril, por el que se establece el título de Técnico en Transformación de Madera y Corcho y las correspondientes enseñanzas mínimas.</t>
  </si>
  <si>
    <t>Real Decreto 2420/1994, de 16 de diciembre</t>
  </si>
  <si>
    <t>Real Decreto 2420/1994, de 16 de diciembre, por el que se establece el titulo de Técnico en Tratamientos Superficiales y Térmicos y las correspondientes enseñanzas mínimas.</t>
  </si>
  <si>
    <t>Real Decreto 556/2012, de 23 de marzo, por el que se establece el título de Técnico en Vídeo Disc-jockey y Sonido y se fijan sus enseñanzas mínimas</t>
  </si>
  <si>
    <t>Técnico Superior Artista Fallero y Construcción de Escenografías</t>
  </si>
  <si>
    <t>Artes y Artesanías</t>
  </si>
  <si>
    <t>Real Decreto 1690/2011, de 18 de noviembre</t>
  </si>
  <si>
    <t>Real Decreto 1690/2011, de 18 de noviembre, por el que se establece el título de Técnico Superior Artista Fallero y Construcción de Escenografías y se fijan sus enseñanzas mínimas</t>
  </si>
  <si>
    <t>Técnico Superior en Acondicionamiento Físico</t>
  </si>
  <si>
    <t>Real Decreto 651/2017, de 23 de junio</t>
  </si>
  <si>
    <t>Real Decreto 651/2017, de 23 de junio, por el que se establece el título de Técnico Superior en Acondicionamiento Físico y se fijan los aspectos básicos del currículo</t>
  </si>
  <si>
    <t>Real Decreto 1585/2011, de 4 de noviembre, por el que se establece el Título de Técnico Superior en Acuicultura y se fijan sus enseñanzas mínimas</t>
  </si>
  <si>
    <t>Real Decreto 1660/1994, de 22 de julio</t>
  </si>
  <si>
    <t>Real Decreto 1660/1994, de 22 de julio, por el que se establece el título de Técnico superior en Administración de Sistemas Informáticos y las correspondientes enseñanzas mínimas.</t>
  </si>
  <si>
    <t>Real Decreto 1629/2009, de 30 de octubre, por el que se establece el título de Técnico Superior en Administración de Sistemas Informáticos en Red y se fijan sus enseñanzas mínimas</t>
  </si>
  <si>
    <t>Real Decreto 1659/1994, de 22 de julio</t>
  </si>
  <si>
    <t>Real Decreto 1659/1994, de 22 de julio, por el que se establece el título de Técnico superior en Administración y Finanzas y las correspondientes enseñanzas mínimas.</t>
  </si>
  <si>
    <t>Real Decreto 1584/2011, de 4 de noviembre, por el que se establece el Título de Técnico Superior en Administración y Finanzas y se fijan sus enseñanzas mínimas</t>
  </si>
  <si>
    <t>Real Decreto 2215/1993, de 17 de diciembre</t>
  </si>
  <si>
    <t>Real Decreto 2215/1993, de 17 de diciembre, por el que se establece el título de Técnico superior en Agencias de Viajes y las correspondientes enseñanzas mínimas.</t>
  </si>
  <si>
    <t>Real Decreto 1254/2009, de 24 de julio, por el que se establece el título de Técnico Superior en Agencias de Viajes y Gestión de Eventos y se fijan sus enseñanzas mínimas</t>
  </si>
  <si>
    <t>Real Decreto 2216/1993, de 17 de diciembre</t>
  </si>
  <si>
    <t>Real Decreto 2216/1993, de 17 de diciembre, por el que se establece el título de Técnico superior en Alojamiento y las correspondientes enseñanzas mínimas.</t>
  </si>
  <si>
    <t>Real Decreto 811/1993, de 28 de mayo</t>
  </si>
  <si>
    <t>Real Decreto 811/1993, de 28 de mayo, por el que se establece el título de Técnico superior en Análisis y Control y las correspondientes enseñanzas mínimas.</t>
  </si>
  <si>
    <t>Real Decreto 767/2014, de 12 de septiembre, por el que se establece el título de Técnico Superior en Anatomía Patológica y Citodiagnóstico y se fijan sus enseñanzas mínimas</t>
  </si>
  <si>
    <t>Real Decreto 538/1995, de 7 de abril</t>
  </si>
  <si>
    <t>Real Decreto 538/1995, de 7 de abril, por el que se establece el título de Técnico superior en Anatomía Patológica y Citología y las correspondientes enseñanzas mínimas.</t>
  </si>
  <si>
    <t>Real Decreto 2048/1995, de 22 de diciembre</t>
  </si>
  <si>
    <t>Real Decreto 2048/1995, de 22 de diciembre, por el que se establece el título de Técnico superior en Animación de Actividades Físicas y Deportivas y las correspondientes enseñanzas mínimas.</t>
  </si>
  <si>
    <t>Real Decreto 2058/1995, de 22 de diciembre</t>
  </si>
  <si>
    <t>Real Decreto 2058/1995, de 22 de diciembre, por el que se establece el título de Técnico Superior en Animación Socio-cultural y las correspondientes enseñanzas mínimas.</t>
  </si>
  <si>
    <t>Real Decreto 1684/2011, de 18 de noviembre, por el que se establece el título de Técnico Superior en Animación Sociocultural y Turística y se fijan sus enseñanzas mínimas</t>
  </si>
  <si>
    <t>Real Decreto 274/2000, de 25 de febrero</t>
  </si>
  <si>
    <t>Real Decreto 274/2000, de 25 de febrero, por el que se establece el título de Técnico superior en Animación Turística y las correspondientes enseñanzas mínimas.</t>
  </si>
  <si>
    <t>Real Decreto 1583/2011, de 4 de noviembre, por el que se establece el Título de Técnico Superior en Animaciones 3D, Juegos y Entornos Interactivos y se fijan sus enseñanzas mínimas</t>
  </si>
  <si>
    <t>Real Decreto 627/1995, de 21 de abril</t>
  </si>
  <si>
    <t>Real Decreto 627/1995, de 21 de abril, por el que se establece el título de Técnico superior en Asesoría de Imagen Personal y las correspondientes enseñanzas mínimas.</t>
  </si>
  <si>
    <t>Real Decreto 1685/2011, de 18 de noviembre, por el que se establece el título de Técnico Superior en Asesoría de Imagen Personal y Corporativa y se fijan sus enseñanzas mínimas</t>
  </si>
  <si>
    <t>Real Decreto 1582/2011, de 4 de noviembre, por el que se establece el Título de Técnico Superior en Asistencia a la Dirección y se fijan sus enseñanzas mínimas</t>
  </si>
  <si>
    <t>Real Decreto 1685/2007, de 14 de diciembre, por el que se establece el título de Técnico Superior en Audiología Protésica y se fijan sus enseñanzas mínimas</t>
  </si>
  <si>
    <t>Real Decreto 62/2001, de 26 de enero</t>
  </si>
  <si>
    <t>Real Decreto 62/2001, de 26 de enero, por el que se establece el título de Técnico superior en Audioprótesis y las correspondientes enseñanzas mínimas.</t>
  </si>
  <si>
    <t>Real Decreto 1581/2011, de 4 de noviembre, por el que se establece el Título de Técnico Superior en Automatización y Robótica Industrial y se fijan sus enseñanzas mínimas</t>
  </si>
  <si>
    <t>Real Decreto 1648/1994, de 22 de julio</t>
  </si>
  <si>
    <t>Real Decreto 1648/1994, de 22 de julio, por el que se establece el título de Técnico superior en Automoción y las correspondientes enseñanzas mínimas.</t>
  </si>
  <si>
    <t>Real Decreto 1796/2008, de 3 de noviembre, por el que se establece el título de Técnico Superior en Automoción y se fijan sus enseñanzas mínimas</t>
  </si>
  <si>
    <t>Real Decreto 553/2012, de 23 de marzo, por el que se establece el título de Técnico Superior en Caracterización y Maquillaje Profesional y se fijan sus enseñanzas mínimas</t>
  </si>
  <si>
    <t>Técnico Superior en Centrales Eléctricas</t>
  </si>
  <si>
    <t>Real Decreto 258/2011, de 28 de febrero</t>
  </si>
  <si>
    <t>Real Decreto 258/2011, de 28 de febrero, por el que se establece el título de Técnico Superior en Centrales Eléctricas y se fijan sus enseñanzas mínimas</t>
  </si>
  <si>
    <t>Real Decreto 1574/2011, de 4 de noviembre, por el que se establece el Título de Técnico Superior en Comercio Internacional y se fijan sus enseñanzas mínimas</t>
  </si>
  <si>
    <t>Real Decreto 1653/1994, de 22 de julio</t>
  </si>
  <si>
    <t>Real Decreto 1653/1994, de 22 de julio, por el que se establece el título de Técnico superior en Comercio Internacional y las correspondientes enseñanzas mínimas.</t>
  </si>
  <si>
    <t>Real Decreto 1656/1994, de 22 de julio</t>
  </si>
  <si>
    <t>Real Decreto 1656/1994, de 22 de julio, por el que se establece el título de Técnico superior en Construcciones Metálicas y las correspondientes enseñanzas mínimas.</t>
  </si>
  <si>
    <t>Real Decreto 174/2008, de 8 de febrero, por el que se establece el título de Técnico Superior en Construcciones Metálicas y se fijan sus enseñanzas mínimas</t>
  </si>
  <si>
    <t>Técnico Superior en Coordinación de Emergencias y Protección Civil</t>
  </si>
  <si>
    <t>Real Decreto 906/2013, de 22 de noviembre</t>
  </si>
  <si>
    <t>Real Decreto 906/2013, de 22 de noviembre, por el que se establece el título de Técnico Superior en Coordinación de Emergencias y Protección Civil y se fijan sus enseñanzas mínimas</t>
  </si>
  <si>
    <t>Técnico superior en Curtidos</t>
  </si>
  <si>
    <t>Real Decreto 736/1994, de 22 de abril</t>
  </si>
  <si>
    <t>Real Decreto 736/1994, de 22 de abril, por el que se establece el título de Técnico superior en Curtidos y las correspondientes enseñanzas mínimas.</t>
  </si>
  <si>
    <t>Real Decreto 1661/1994, de 22 de julio</t>
  </si>
  <si>
    <t>Real Decreto 1661/1994, de 22 de julio, por el que se establece el título de Técnico superior en Desarrollo de Aplicaciones Informáticas y las correspondientes enseñanzas mínimas.</t>
  </si>
  <si>
    <t>Real Decreto 450/2010, de 16 de abril, por el que se establece el título de Técnico Superior en Desarrollo de Aplicaciones Multiplataforma y se fijan sus enseñanzas mínimas</t>
  </si>
  <si>
    <t>Real Decreto 686/2010, de 20 de mayo, por el que se establece el título de Técnico Superior en Desarrollo de Aplicaciones Web y se fijan sus enseñanzas mínimas</t>
  </si>
  <si>
    <t>Real Decreto 620/1995, de 21 de abril</t>
  </si>
  <si>
    <t>Real Decreto 620/1995, de 21 de abril, por el que se establece el título de Técnico superior en Desarrollo de Productos Electrónicos y las correspondientes enseñanzas mínimas.</t>
  </si>
  <si>
    <t>Real Decreto 728/1994, de 22 de abril</t>
  </si>
  <si>
    <t>Real Decreto 728/1994, de 22 de abril, por el que se establece el título de Técnico superior en Desarrollo de Productos en Carpintería y Mueble y las correspondientes enseñanzas mínimas.</t>
  </si>
  <si>
    <t>Real Decreto 2042/1995, de 22 de diciembre</t>
  </si>
  <si>
    <t>Real Decreto 2042/1995, de 22 de diciembre, por el que se establece el título de Técnico Superior en Desarrollo de Proyectos de Instalaciones de Fluidos, Térmicas y de Manutención y las correspondientes enseñanzas mínimas.</t>
  </si>
  <si>
    <t>Real Decreto 219/2008, de 15 de febrero, por el que se establece el título de Técnico Superior en Desarrollo de Proyectos de Instalaciones Térmicas y de Fluidos y se fijan sus enseñanzas mínimas</t>
  </si>
  <si>
    <t>Real Decreto 2416/1994, de 16 de diciembre</t>
  </si>
  <si>
    <t>Real Decreto 2416/1994, de 16 de diciembre, por el que se establece el titulo de Técnico superior en Desarrollo de Proyectos Mecánicos y las correspondientes enseñanzas mínimas.</t>
  </si>
  <si>
    <t>Real Decreto 2208/1993, de 17 de diciembre</t>
  </si>
  <si>
    <t>Real Decreto 2208/1993, de 17 de diciembre, por el que se establece el título de Técnico superior en Desarrollo y Aplicación de Proyectos de Construcción y las correspondientes enseñanzas mínimas.</t>
  </si>
  <si>
    <t>Real Decreto 1797/2008, de 3 de noviembre, por el que se establece el título de Técnico Superior en Desarrollo y Fabricación de Productos Cerámicos y se fijan sus enseñanzas mínimas</t>
  </si>
  <si>
    <t>Real Decreto 2038/1995, de 22 de diciembre</t>
  </si>
  <si>
    <t>Real Decreto 2038/1995, de 22 de diciembre, por el que se establece el título de Técnico Superior en Desarrollo y Fabricación de Productos Cerámicos y las correspondientes enseñanzas mínimas.</t>
  </si>
  <si>
    <t>Real Decreto 536/1995, de 7 de abril</t>
  </si>
  <si>
    <t>Real Decreto 536/1995, de 7 de abril, por el que se establece el título de Técnico superior en Dietética y las correspondientes enseñanzas mínimas</t>
  </si>
  <si>
    <t>Real Decreto 687/2010, de 20 de mayo, por el que se establece el título de Técnico Superior en Dirección de Cocina y se fijan sus enseñanzas mínimas</t>
  </si>
  <si>
    <t>Real Decreto 688/2010, de 20 de mayo, por el que se establece el título de Técnico Superior en Dirección de Servicios de Restauración y se fijan sus enseñanzas mínimas</t>
  </si>
  <si>
    <t>Real Decreto 1630/2009, de 30 de octubre, por el que se establece el título de Técnico Superior en Diseño en Fabricación Mecánica y se fijan sus enseñanzas mínimas</t>
  </si>
  <si>
    <t>Real Decreto 1580/2011, de 4 de noviembre, por el que se establece el Título de Técnico Superior en Diseño Técnico en Textil y Piel y se fijan sus enseñanzas mínimas</t>
  </si>
  <si>
    <t>Real Decreto 1579/2011, de 4 de noviembre, por el que se establece el Título de Técnico Superior en Diseño y Amueblamiento y se fijan sus enseñanzas mínimas</t>
  </si>
  <si>
    <t>Real Decreto 174/2013, de 8 de marzo, por el que se establece el título de Técnico Superior en Diseño y Edición de Publicaciones Impresas y Multimedia y se fijan sus enseñanzas mínimas</t>
  </si>
  <si>
    <t>Real Decreto 175/2013, de 8 de marzo, por el que se establece el título de Técnico Superior en Diseño y Gestión de la Producción Gráfica y se fijan sus enseñanzas mínimas</t>
  </si>
  <si>
    <t>Real Decreto 689/2010, de 20 de mayo, por el que se establece el título de Técnico Superior en Diseño y Producción de Calzado y Complementos y se fijan sus enseñanzas mínimas</t>
  </si>
  <si>
    <t>Real Decreto 2422/1994, de 16 de diciembre</t>
  </si>
  <si>
    <t>Real Decreto 2422/1994, de 16 de diciembre, por el que se establece el titulo de Técnico superior en Diseño y Producción Editorial y las correspondientes enseñanzas mínimas.</t>
  </si>
  <si>
    <t>Real Decreto 543/1995, de 7 de abril</t>
  </si>
  <si>
    <t>Real Decreto 543/1995, de 7 de abril, por el que se establece el título de Técnico superior en Documentación Sanitaria y las correspondientes enseñanzas mínimas.</t>
  </si>
  <si>
    <t>Real Decreto 768/2014, de 12 de septiembre, por el que se establece el título de Técnico Superior en Documentación y Administración Sanitarias y se fijan sus enseñanzas mínimas</t>
  </si>
  <si>
    <t>Real Decreto 1394/2007, de 29 de octubre, por el que se establece el título de Técnico Superior en Educación infantil y se fijan sus enseñanzas mínimas</t>
  </si>
  <si>
    <t>Real Decreto 2059/1995, de 22 de diciembre</t>
  </si>
  <si>
    <t>Real Decreto 2059/1995, de 22 de diciembre, por el que se establece el título de Técnico superior en Educación Infantil y las correspondientes enseñanzas mínimas.</t>
  </si>
  <si>
    <t>Real Decreto 384/2011, de 18 de marzo, por el que se establece el título de Técnico Superior en Educación y Control Ambiental y se fijan sus enseñanzas mínimas</t>
  </si>
  <si>
    <t>Real Decreto 1177/2008, de 11 de julio, por el que se establece el título de Técnico Superior en Eficiencia Energética y Energía Solar Térmica y se fijan sus enseñanzas mínimas</t>
  </si>
  <si>
    <t>Real Decreto 838/2015, de 21 de septiembre, por el que se establece el título de Técnico Superior en Electromedicina Clínica y se fijan los aspectos básicos del currículo</t>
  </si>
  <si>
    <t>Técnico Superior en Energías Renovables</t>
  </si>
  <si>
    <t>Real Decreto 385/2011, de 18 de marzo</t>
  </si>
  <si>
    <t>Real Decreto 385/2011, de 18 de marzo, por el que se establece el título de Técnico Superior en Energías Renovables y se fijan sus enseñanzas mínimas</t>
  </si>
  <si>
    <t>Técnico Superior en Enseñanza y Animación Sociodeportiva</t>
  </si>
  <si>
    <t>Real Decreto 653/2017, de 23 de junio</t>
  </si>
  <si>
    <t>Real Decreto 653/2017, de 23 de junio, por el que se establece el título de Técnico Superior en Enseñanza y Animación Sociodeportiva y se fijan los aspectos básicos del currículo</t>
  </si>
  <si>
    <t>Real Decreto 628/1995, de 21 de abril</t>
  </si>
  <si>
    <t>Real Decreto 628/1995, de 21 de abril, por el que se establece el título de Técnico superior en Estética y las correspondientes enseñanzas mínimas.</t>
  </si>
  <si>
    <t>Real Decreto 881/2011, de 24 de junio, por el que se establece el título de Técnico Superior en Estética Integral y Bienestar y se fijan sus enseñanzas mínimas</t>
  </si>
  <si>
    <t>Real Decreto 1577/2011, de 4 de noviembre, por el que se establece el Título de Técnico Superior en Estilismo y Dirección de Peluquería y se fijan sus enseñanzas mínimas</t>
  </si>
  <si>
    <t>Técnico superior en fabricación de productos farmacéuticos y afines</t>
  </si>
  <si>
    <t>Real Decreto 810/1993, de 28 de mayo</t>
  </si>
  <si>
    <t>Real Decreto 810/1993, de 28 de mayo, por el que se establece el título de Técnico superior en fabricación de productos farmacéuticos y afines y las correspondientes enseñanzas mínimas.</t>
  </si>
  <si>
    <t>Real Decreto 832/2014, de 3 de octubre, por el que se establece el título de Técnico Superior en Fabricación de productos farmacéuticos, biotecnológicos y afines y se fijan sus enseñanzas mínimas</t>
  </si>
  <si>
    <t>Técnico superior en Fabricación y Transformación de Productos de Vidrio</t>
  </si>
  <si>
    <t>Real Decreto 2039/1995, de 22 de diciembre</t>
  </si>
  <si>
    <t>Real Decreto 2039/1995, de 22 de diciembre, por el que se establece el título de Técnico superior en Fabricación y Transformación de Productos de Vidrio y las correspondientes enseñanzas mínimas.</t>
  </si>
  <si>
    <t>Técnico Superior en Formación para la movilidad segura y sostenible</t>
  </si>
  <si>
    <t>Real Decreto 174/2021, de 23 de marzo</t>
  </si>
  <si>
    <t>Real Decreto 174/2021, de 23 de marzo, por el que se establece el título de Técnico Superior en Formación para la movilidad segura y sostenible y se fijan los aspectos básicos del currículo</t>
  </si>
  <si>
    <t>Real Decreto 1585/2012, de 23 de noviembre, por el que se establece el título de Técnico Superior en Ganadería y Asistencia en Sanidad Animal y se fijan sus enseñanzas mínimas</t>
  </si>
  <si>
    <t>Real Decreto 1651/1994, de 22 de julio</t>
  </si>
  <si>
    <t>Real Decreto 1651/1994, de 22 de julio, por el que se establece el título de Técnico superior en Gestión Comercial y Marketing y las correspondientes enseñanzas mínimas.</t>
  </si>
  <si>
    <t>Real Decreto 1686/2007, de 14 de diciembre, por el que se establece el título de Técnico Superior en Gestión de Alojamientos Turísticos y se fijan sus enseñanzas mínimas</t>
  </si>
  <si>
    <t>Real Decreto 1573/2011, de 4 de noviembre, por el que se establece el Título de Técnico Superior en Gestión de Ventas y Espacios Comerciales y se fijan sus enseñanzas mínimas</t>
  </si>
  <si>
    <t>Real Decreto 113/2017, de 17 de febrero, por el que se establece el título de Técnico Superior en Gestión del Agua y se fijan los aspectos básicos del currículo</t>
  </si>
  <si>
    <t>Real Decreto 1654/1994, de 22 de julio</t>
  </si>
  <si>
    <t>Real Decreto 1654/1994, de 22 de julio, por el que se establece el título de Técnico superior en Gestión del Transporte y las correspondientes enseñanzas mínimas.</t>
  </si>
  <si>
    <t>Real Decreto 260/2011, de 28 de febrero, por el que se establece el título de Técnico Superior en Gestión Forestal y del Medio Natural y se fijan sus enseñanzas mínimas</t>
  </si>
  <si>
    <t>Real Decreto 1711/1996, de 12 de julio</t>
  </si>
  <si>
    <t>Real Decreto 1711/1996, de 12 de julio, por el que se establece el título de Técnico superior en Gestión y Organización de Empresas Agropecuarias y las correspondientes enseñanzas mínimas.</t>
  </si>
  <si>
    <t>Real Decreto 1712/1996, de 12 de julio</t>
  </si>
  <si>
    <t>Real Decreto 1712/1996, de 12 de julio, por el que se establece el título de Técnico superior en Gestión y Organización de los Recursos Naturales y Paisajísticos y las correspondientes enseñanzas mínimas.</t>
  </si>
  <si>
    <t>Real Decreto 1255/2009, de 24 de julio, por el que se establece el título de Técnico Superior en Guía, Información y Asistencias Turísticas y se fijan sus enseñanzas mínimas</t>
  </si>
  <si>
    <t>Real Decreto 537/1995, de 7 de abril</t>
  </si>
  <si>
    <t>Real Decreto 537/1995, de 7 de abril, por el que se establece el título de Técnico superior en Higiene Bucodental y las correspondientes enseñanzas mínimas.</t>
  </si>
  <si>
    <t>Real Decreto 769/2014, de 12 de septiembre, por el que se establece el título de Técnico Superior en Higiene Bucodental y se fijan sus enseñanzas mínimas</t>
  </si>
  <si>
    <t>Real Decreto 1686/2011, de 18 de noviembre, por el que se establece el título de Técnico Superior en Iluminación, Captación y Tratamiento de Imagen y se fijan sus enseñanzas mínimas</t>
  </si>
  <si>
    <t>Real Decreto 2033/1995, de 22 de diciembre</t>
  </si>
  <si>
    <t>Real Decreto 2033/1995, de 22 de diciembre, por el que se establece el título de Técnico superior en Imagen y las correspondientes enseñanzas mínimas.</t>
  </si>
  <si>
    <t>Real Decreto 545/1995, de 7 de abril</t>
  </si>
  <si>
    <t>Real Decreto 545/1995, de 7 de abril, por el que se establece el título de Técnico superior en imagen para el Diagnóstico y las correspondientes enseñanzas mínimas.</t>
  </si>
  <si>
    <t>Real Decreto 770/2014, de 12 de septiembre, por el que se establece el título de Técnico Superior en Imagen para el Diagnóstico y Medicina Nuclear y se fijan sus enseñanzas mínimas</t>
  </si>
  <si>
    <t>Real Decreto 2050/1995, de 22 de diciembre</t>
  </si>
  <si>
    <t>Real Decreto 2050/1995, de 22 de diciembre, por el que se establece el título de Técnico superior en Industria Alimentaria y las correspondientes enseñanzas mínimas.</t>
  </si>
  <si>
    <t>Real Decreto 809/1993, de 28 de mayo</t>
  </si>
  <si>
    <t>Real Decreto 809/1993, de 28 de mayo, por el que se establece el título de Técnico superior en industrias de proceso de pasta y papel y las correspondientes enseñanzas mínimas.</t>
  </si>
  <si>
    <t>Real Decreto 808/1993, de 28 de mayo</t>
  </si>
  <si>
    <t>Real Decreto 808/1993, de 28 de mayo, por el que se establece el título de Técnico superior en industrias de proceso químico y las correspondientes enseñanzas mínimas.</t>
  </si>
  <si>
    <t>Real Decreto 2217/1993, de 17 de diciembre</t>
  </si>
  <si>
    <t>Real Decreto 2217/1993, de 17 de diciembre, por el que se establece el título de Técnico superior en Información y Comercialización Turísticas y las correspondientes enseñanzas mínimas.</t>
  </si>
  <si>
    <t>Real Decreto 621/1995, de 21 de abril</t>
  </si>
  <si>
    <t>Real Decreto 621/1995, de 21 de abril, por el que se establece el título de Técnico superior en instalaciones Electrotécnicas y las correspondientes enseñanzas mínimas.</t>
  </si>
  <si>
    <t>Real Decreto 1074/2012, de 13 de julio, por el que se establece el título de Técnico Superior en Integración Social y se fijan sus enseñanzas mínimas</t>
  </si>
  <si>
    <t>Real Decreto 2061/1995, de 22 de diciembre</t>
  </si>
  <si>
    <t>Real Decreto 2061/1995, de 22 de diciembre, por el que se establece el título de Técnico Superior en Integración Social y las correspondientes enseñanzas mínimas.</t>
  </si>
  <si>
    <t>Real Decreto 2060/1995, de 22 de diciembre</t>
  </si>
  <si>
    <t>Real Decreto 2060/1995, de 22 de diciembre, por el que se establece el título de Técnico superior en Interpretación de la Lengua de Signos y las correspondientes enseñanzas mínimas.</t>
  </si>
  <si>
    <t>Real Decreto 771/2014, de 12 de septiembre, por el que se establece el título de Técnico Superior en Laboratorio Clínico y Biomédico y se fijan sus enseñanzas mínimas</t>
  </si>
  <si>
    <t>Real Decreto 1395/2007, de 29 de octubre, por el que se establece el título de Técnico Superior en Laboratorio de Análisis y de Control de Calidad y se fijan sus enseñanzas mínimas</t>
  </si>
  <si>
    <t>Real Decreto 539/1995, de 7 de abril</t>
  </si>
  <si>
    <t>Real Decreto 539/1995, de 7 de abril, por el que se establece el título de Técnico superior en Laboratorio de Diagnóstico Clínico y las correspondientes enseñanzas mínimas.</t>
  </si>
  <si>
    <t>Real Decreto 2209/1993, de 17 de diciembre</t>
  </si>
  <si>
    <t>Real Decreto 2209/1993, de 17 de diciembre, por el que se establece el título de Técnico superior en Levantamientos y Desarrollos Urbanísticos y las correspondientes enseñanzas mínimas.</t>
  </si>
  <si>
    <t>Técnico superior en Mantenimiento Aeromecánico</t>
  </si>
  <si>
    <t>Real Decreto 625/1995, de 21 de abril</t>
  </si>
  <si>
    <t>Real Decreto 625/1995, de 21 de abril, por el que se establece el título de Técnico superior en Mantenimiento Aeromecánico y las correspondientes enseñanzas mínimas.</t>
  </si>
  <si>
    <t>Técnico Superior en Mantenimiento aeromecánico de aviones con motor de pistón</t>
  </si>
  <si>
    <t>Real Decreto 1444/2018, de 14 de diciembre</t>
  </si>
  <si>
    <t>Real Decreto 1444/2018, de 14 de diciembre, por el que se establece el título de Técnico Superior en Mantenimiento aeromecánico de aviones con motor de pistón y se fijan los aspectos básicos del currículo</t>
  </si>
  <si>
    <t>Técnico Superior en Mantenimiento aeromecánico de aviones con motor de turbina</t>
  </si>
  <si>
    <t>Real Decreto 1445/2018, de 14 de diciembre</t>
  </si>
  <si>
    <t>Real Decreto 1445/2018, de 14 de diciembre, por el que se establece el título de Técnico Superior en Mantenimiento aeromecánico de aviones con motor de turbina y se fijan los aspectos básicos del currículo</t>
  </si>
  <si>
    <t>Técnico Superior en Mantenimiento aeromecánico de helicópteros con motor de pistón</t>
  </si>
  <si>
    <t>Real Decreto 1446/2018, de 14 de diciembre</t>
  </si>
  <si>
    <t>Real Decreto 1446/2018, de 14 de diciembre, por el que se establece el título de Técnico Superior en Mantenimiento aeromecánico de helicópteros con motor de pistón y se fijan los aspectos básicos del currículo</t>
  </si>
  <si>
    <t>Técnico Superior en Mantenimiento aeromecánico de helicópteros con motor de turbina</t>
  </si>
  <si>
    <t>Real Decreto 1447/2018, de 14 de diciembre</t>
  </si>
  <si>
    <t>Real Decreto 1447/2018, de 14 de diciembre, por el que se establece el título de Técnico Superior en Mantenimiento aeromecánico de helicópteros con motor de turbina y se fijan los aspectos básicos del currículo</t>
  </si>
  <si>
    <t>Técnico superior en Mantenimiento de Aviónica</t>
  </si>
  <si>
    <t>Real Decreto 626/1995, de 21 de abril</t>
  </si>
  <si>
    <t>Real Decreto 626/1995, de 21 de abril, por el que se establece el título de Técnico superior en Mantenimiento de Aviónica y las correspondientes enseñanzas mínimas.</t>
  </si>
  <si>
    <t>Real Decreto 2043/1995, de 22 de diciembre</t>
  </si>
  <si>
    <t>Real Decreto 2043/1995, de 22 de diciembre, por el que se establece el título de Técnico superior en Mantenimiento de Equipo Industrial y las correspondientes enseñanzas mínimas.</t>
  </si>
  <si>
    <t>Real Decreto 220/2008, de 15 de febrero, por el que se establece el título de Técnico Superior en Mantenimiento de Instalaciones Térmicas y de Fluidos y se fijan sus enseñanzas mínimas</t>
  </si>
  <si>
    <t>Técnico Superior en Mantenimiento de sistemas electrónicos y aviónicos en aeronaves</t>
  </si>
  <si>
    <t>Real Decreto 1448/2018, de 14 de diciembre</t>
  </si>
  <si>
    <t>Real Decreto 1448/2018, de 14 de diciembre, por el que se establece el título de Técnico Superior en Mantenimiento de sistemas electrónicos y aviónicos en aeronaves y se fijan los aspectos básicos del currículo</t>
  </si>
  <si>
    <t>Real Decreto 1578/2011, de 4 de noviembre, por el que se establece el Título de Técnico Superior en Mantenimiento Electrónico y se fijan sus enseñanzas mínimas</t>
  </si>
  <si>
    <t>Real Decreto 2044/1995, de 22 de diciembre</t>
  </si>
  <si>
    <t>Real Decreto 2044/1995, de 22 de diciembre, por el que se establece el título de Técnico Superior en Mantenimiento y Montaje de Instalaciones de Edificio y Proceso y las correspondientes enseñanzas mínimas.</t>
  </si>
  <si>
    <t>Real Decreto 1571/2011, de 4 de noviembre, por el que se establece el Título de Técnico Superior en Marketing y Publicidad y se fijan sus enseñanzas mínimas</t>
  </si>
  <si>
    <t>Real Decreto 1576/2011, de 4 de noviembre, por el que se establece el Título de Técnico Superior en Mecatrónica Industrial y se fijan sus enseñanzas mínimas</t>
  </si>
  <si>
    <t>Real Decreto 831/2014, de 3 de octubre, por el que se establece el título de Técnico Superior en Mediación Comunicativa y se fijan sus enseñanzas mínimas</t>
  </si>
  <si>
    <t>Real Decreto 721/1994, de 22 de abril</t>
  </si>
  <si>
    <t>Real Decreto 721/1994, de 22 de abril, por el que se establece el título de Técnico superior en Navegación, Pesca y Transporte Marítimo y las correspondientes enseñanzas mínimas.</t>
  </si>
  <si>
    <t>Técnico superior en Óptica de Anteojería</t>
  </si>
  <si>
    <t>Real Decreto 370/2001, de 6 de abril</t>
  </si>
  <si>
    <t>Real Decreto 370/2001, de 6 de abril, por el que se establece el título de Técnico superior en Óptica de Anteojería y las correspondientes enseñanzas mínimas</t>
  </si>
  <si>
    <t>Real Decreto 1075/2012, de 13 de julio, por el que se establece el título de Técnico Superior en Organización del Mantenimiento de Maquinaria de Buques y Embarcaciones y se fijan sus enseñanzas mínimas</t>
  </si>
  <si>
    <t>Real Decreto 636/2015, de 10 de julio, por el que se establece el título de Técnico Superior en Organización y Control de Obras de Construcción y se fijan los aspectos básicos del currículo</t>
  </si>
  <si>
    <t>Real Decreto 542/1995, de 7 de abril</t>
  </si>
  <si>
    <t>Real Decreto 542/1995, de 7 de abril, por el que se establece el título de Técnico superior en Ortoprotésica y las correspondientes enseñanzas mínimas.</t>
  </si>
  <si>
    <t>Real Decreto 905/2013, de 22 de noviembre, por el que se establece el título de Técnico Superior en Ortoprótesis y Productos de Apoyo y se fijan sus enseñanzas mínimas</t>
  </si>
  <si>
    <t>Real Decreto 259/2011, de 28 de febrero, por el que se establece el título de Técnico Superior en Paisajismo y Medio Rural y se fijan sus enseñanzas mínimas</t>
  </si>
  <si>
    <t>Real Decreto 738/1994, de 22 de abril</t>
  </si>
  <si>
    <t>Real Decreto 738/1994, de 22 de abril, por el que se establece el título de Técnico Superior en Patronaje y las correspondientes enseñanzas mínimas.</t>
  </si>
  <si>
    <t>Real Decreto 954/2008, de 6 de junio, por el que se establece el título de Técnico Superior en Patronaje y Moda y se fijan sus enseñanzas mínimas</t>
  </si>
  <si>
    <t>Real Decreto 813/1993, de 28 de mayo</t>
  </si>
  <si>
    <t>Real Decreto 813/1993, de 28 de mayo, por el que se establece el título de Técnico superior en plásticos y caucho y las correspondientes enseñanzas mínimas.</t>
  </si>
  <si>
    <t>Técnico superior en Prevención de Riesgos Profesionales</t>
  </si>
  <si>
    <t>Real Decreto 1161/2001, de 26 de octubre</t>
  </si>
  <si>
    <t>Real Decreto 1161/2001, de 26 de octubre, por el que se establece el título de Técnico superior en Prevención de Riesgos Profesionales y las correspondientes enseñanzas mínimas.</t>
  </si>
  <si>
    <t>Real Decreto 1161/2001, de 26 de octubre, por el que se establece el título de Técnico superior en Prevención de Riesgos Profesionales y las correspondientes enseñanzas mínimas</t>
  </si>
  <si>
    <t>Real Decreto 737/1994, de 22 de abril</t>
  </si>
  <si>
    <t>Real Decreto 737/1994, de 22 de abril, por el que se establece el título de Técnico superior en Procesos de Confección Industrial y las correspondientes enseñanzas mínimas.</t>
  </si>
  <si>
    <t>Real Decreto 735/1994, de 22 de abril</t>
  </si>
  <si>
    <t>Real Decreto 735/1994, de 22 de abril, por el que se establece el título de Técnico superior en Procesos de Ennoblecimiento Textil y las correspondientes enseñanzas mínimas.</t>
  </si>
  <si>
    <t>Real Decreto 733/1994, de 22 de abril</t>
  </si>
  <si>
    <t>Real Decreto 733/1994, de 22 de abril, por el que se establece el título de Técnico superior en Procesos Textiles de Hilatura y Tejeduría de Calada y las correspondientes enseñanzas mínimas.</t>
  </si>
  <si>
    <t>Técnico superior en Procesos Textiles de Tejeduría de Punto</t>
  </si>
  <si>
    <t>Real Decreto 734/1994, de 22 de abril</t>
  </si>
  <si>
    <t>Real Decreto 734/1994, de 22 de abril, por el que se establece el título de Técnico superior en Procesos Textiles de Tejeduría de Punto y las correspondientes enseñanzas mínimas.</t>
  </si>
  <si>
    <t>Real Decreto 451/2010, de 16 de abril, por el que se establece el título de Técnico Superior en Procesos y Calidad en la Industria Alimentaria y se fijan sus enseñanzas mínimas</t>
  </si>
  <si>
    <t>Real Decreto 723/1994, de 22 de abril</t>
  </si>
  <si>
    <t>Real Decreto 723/1994, de 22 de abril, por el que se establece el título de Técnico Superior en Producción Acuícola y las correspondientes enseñanzas mínimas.</t>
  </si>
  <si>
    <t>Real Decreto 1681/2011, de 18 de noviembre, por el que se establece el título de Técnico Superior en Producción de audiovisuales y espectáculos y se fijan sus enseñanzas mínimas</t>
  </si>
  <si>
    <t>Real Decreto 2034/1995, de 22 de diciembre</t>
  </si>
  <si>
    <t>Real Decreto 2034/1995, de 22 de diciembre, por el que se establece el título de Técnico Superior en Producción de Audiovisuales, Radio y Espectáculos y las correspondientes enseñanzas mínimas.</t>
  </si>
  <si>
    <t>Real Decreto 729/1994, de 22 de abril</t>
  </si>
  <si>
    <t>Real Decreto 729/1994, de 22 de abril, por el que se establece el título de Técnico superior en Producción de Madera y Mueble y las correspondientes enseñanzas mínimas.</t>
  </si>
  <si>
    <t>Real Decreto 2423/1994, de 16 de diciembre</t>
  </si>
  <si>
    <t>Real Decreto 2423/1994, de 16 de diciembre, por el que se establece el titulo de Técnico superior en producción en industrias de Artes Gráficas y las correspondientes enseñanzas mínimas.</t>
  </si>
  <si>
    <t>Real Decreto 2418/1994, de 16 de diciembre</t>
  </si>
  <si>
    <t>Real Decreto 2418/1994, de 16 de diciembre, por el que se establece el título de Técnico superior en producción por fundición y Pulvimetalurgia y las correspondientes enseñanzas mínimas.</t>
  </si>
  <si>
    <t>Real Decreto 2417/1994, de 16 de diciembre</t>
  </si>
  <si>
    <t>Real Decreto 2417/1994, de 16 de diciembre, por el que se establece el titulo de Técnico Superior en Producción por Mecanizado y las correspondientes enseñanzas mínimas.</t>
  </si>
  <si>
    <t>Real Decreto 1687/2007, de 14 de diciembre, por el que se establece el título de Técnico Superior en Programación de la Producción en Fabricación Mecánica y se fijan sus enseñanzas mínimas</t>
  </si>
  <si>
    <t>Real Decreto 882/2011, de 24 de junio, por el que se establece el título de Técnico Superior en Programación de la Producción en Moldeo de Metales y Polímeros y se fijan sus enseñanzas mínimas</t>
  </si>
  <si>
    <t>Real Decreto 779/2013, de 11 de octubre, por el que se establece el título de Técnico Superior en Promoción de Igualdad de Género y se fijan sus enseñanzas mínimas</t>
  </si>
  <si>
    <t>Real Decreto 1687/2011, de 18 de noviembre, por el que se establece el título de Técnico Superior en Prótesis Dentales y se fijan sus enseñanzas mínimas</t>
  </si>
  <si>
    <t>Real Decreto 541/1995, de 7 de abril</t>
  </si>
  <si>
    <t>Real Decreto 541/1995, de 7 de abril, por el que se establece el título de Técnico superior en Prótesis Dentales y las correspondientes enseñanzas mínimas.</t>
  </si>
  <si>
    <t>Real Decreto 690/2010, de 20 de mayo, por el que se establece el título de Técnico Superior en Proyectos de Edificación y se fijan sus enseñanzas mínimas</t>
  </si>
  <si>
    <t>Real Decreto 386/2011, de 18 de marzo, por el que se establece el título de Técnico Superior en Proyectos de Obra Civil y se fijan sus enseñanzas mínimas</t>
  </si>
  <si>
    <t>Técnico superior en Química Ambiental</t>
  </si>
  <si>
    <t>Real Decreto 812/1993, de 28 de mayo</t>
  </si>
  <si>
    <t>Real Decreto 812/1993, de 28 de mayo, por el que se establece el título de Técnico superior en Química Ambiental y las correspondientes enseñanzas mínimas.</t>
  </si>
  <si>
    <t>Real Decreto 175/2008, de 8 de febrero, por el que se establece el título de Técnico Superior en Química Industrial y se fijan sus enseñanzas mínimas</t>
  </si>
  <si>
    <t>Técnico Superior en Química y Salud Ambiental</t>
  </si>
  <si>
    <t>Real Decreto 283/2019, de 22 de abril</t>
  </si>
  <si>
    <t>Real Decreto 283/2019, de 22 de abril, por el que se establece el título de Técnico Superior en Química y Salud Ambiental y se fijan los aspectos básicos del currículo</t>
  </si>
  <si>
    <t>Real Decreto 544/1995, de 7 de abril</t>
  </si>
  <si>
    <t>Real Decreto 544/1995, de 7 de abril, por el que se establece el título de Técnico superior en Radioterapia y las correspondientes enseñanzas mínimas.</t>
  </si>
  <si>
    <t>Real Decreto 772/2014, de 12 de septiembre, por el que se establece el título de Técnico Superior en Radioterapia y Dosimetría y se fijan sus enseñanzas mínimas</t>
  </si>
  <si>
    <t>Real Decreto 2035/1995, de 22 de diciembre</t>
  </si>
  <si>
    <t>Real Decreto 2035/1995, de 22 de diciembre, por el que se establece el título de Técnico superior en Realización de Audiovisuales y Espectáculos y las correspondientes enseñanzas mínimas.</t>
  </si>
  <si>
    <t>Real Decreto 1680/2011, de 18 de noviembre, por el que se establece el título de Técnico Superior en Realización de proyectos audiovisuales y espectáculos y se fijan sus enseñanzas mínimas</t>
  </si>
  <si>
    <t>Real Decreto 2210/1993, de 17 de diciembre</t>
  </si>
  <si>
    <t>Real Decreto 2210/1993, de 17 de diciembre, por el que se establece el título de Técnico superior en Realización y Planes de Obras y las correspondientes enseñanzas mínimas.</t>
  </si>
  <si>
    <t>Real Decreto 2218/1993, de 17 de diciembre</t>
  </si>
  <si>
    <t>Real Decreto 2218/1993, de 17 de diciembre, por el que se establece el título de Técnico superior en Restauración y las correspondientes enseñanzas mínimas.</t>
  </si>
  <si>
    <t>Real Decreto 540/1995, de 7 de abril</t>
  </si>
  <si>
    <t>Real Decreto 540/1995, de 7 de abril, por el que se establece el título de Técnico superior en Salud Ambiental y las correspondientes enseñanzas mínimas.</t>
  </si>
  <si>
    <t>Real Decreto 1658/1994, de 22 de julio</t>
  </si>
  <si>
    <t>Real Decreto 1658/1994, de 22 de julio, por el que se establece el título de Técnico superior en Secretariado y las correspondientes enseñanzas mínimas.</t>
  </si>
  <si>
    <t>Técnico superior en Servicios al Consumidor</t>
  </si>
  <si>
    <t>Real Decreto 1652/1994, de 22 de julio</t>
  </si>
  <si>
    <t>Real Decreto 1652/1994, de 22 de julio, por el que se establece el título de Técnico superior en Servicios al Consumidor y las correspondientes enseñanzas mínimas.</t>
  </si>
  <si>
    <t>Real Decreto 619/1995, de 21 de abril</t>
  </si>
  <si>
    <t>Real Decreto 619/1995, de 21 de abril, por el que se establece el título de Técnico superior en Sistemas de Regulación y Control Automáticos y las correspondientes enseñanzas mínimas.</t>
  </si>
  <si>
    <t>Real Decreto 622/1995, de 21 de abril</t>
  </si>
  <si>
    <t>Real Decreto 622/1995, de 21 de abril, proyecto de Real Decreto por el que se establece el título de Técnico superior en Sistemas de Telecomunicación e Informáticos y las correspondientes enseñanzas mínimas.</t>
  </si>
  <si>
    <t>Real Decreto 883/2011, de 24 de junio, por el que se establece el título de Técnico Superior en Sistemas de Telecomunicaciones e Informáticos y se fijan sus enseñanzas mínimas</t>
  </si>
  <si>
    <t>Real Decreto 1127/2010, de 10 de septiembre, por el que se establece el título de Técnico Superior en Sistemas Electrotécnicos y Automatizados y se fijan sus enseñanzas mínimas</t>
  </si>
  <si>
    <t>Real Decreto 2036/1995, de 22 de diciembre</t>
  </si>
  <si>
    <t>Real Decreto 2036/1995, de 22 de diciembre, por el que se establece el título de Técnico Superior en Sonido y las correspondientes enseñanzas mínimas.</t>
  </si>
  <si>
    <t>Real Decreto 1682/2011, de 18 de noviembre, por el que se establece el título de Técnico Superior en Sonido para audiovisuales y espectáculos y se fijan sus enseñanzas mínimas</t>
  </si>
  <si>
    <t>Real Decreto 722/1994, de 22 de abril</t>
  </si>
  <si>
    <t>Real Decreto 722/1994, de 22 de abril, por el que se establece el título de Técnico Superior en Supervisión y Control de Máquinas e Instalaciones del Buque y las correspondientes enseñanzas mínimas.</t>
  </si>
  <si>
    <t>Técnico Superior en Termalismo y bienestar</t>
  </si>
  <si>
    <t>Real Decreto 699/2019, de 29 de noviembre</t>
  </si>
  <si>
    <t>Real Decreto 699/2019, de 29 de noviembre, por el que se establece el título de Técnico Superior en Termalismo y bienestar y se fijan los aspectos básicos del currículo</t>
  </si>
  <si>
    <t>Real Decreto 1691/2011, de 18 de noviembre, por el que se establece el título de Técnico Superior en Transporte Marítimo y Pesca de Altura y se fijan sus enseñanzas mínimas</t>
  </si>
  <si>
    <t>Real Decreto 1572/2011, de 4 de noviembre, por el que se establece el Título de Técnico Superior en Transporte y Logística y se fijan sus enseñanzas mínimas</t>
  </si>
  <si>
    <t>Real Decreto 1679/2011, de 18 de noviembre, por el que se establece el título de Técnico Superior en Vestuario a medida y de espectáculos y se fijan sus enseñanzas mínimas</t>
  </si>
  <si>
    <t>Real Decreto 1688/2007, de 14 de diciembre, por el que se establece el título de Técnico Superior en Vitivinicultura y se fijan sus enseñanzas mínimas</t>
  </si>
  <si>
    <t>Curtidos</t>
  </si>
  <si>
    <t>fabricación de productos farmacéuticos y afines</t>
  </si>
  <si>
    <t>Fabricación y Transformación de Productos de Vidrio</t>
  </si>
  <si>
    <t>Mantenimiento Aeromecánico</t>
  </si>
  <si>
    <t>Mantenimiento de Aviónica</t>
  </si>
  <si>
    <t>Procesos Textiles de Tejeduría de Punto</t>
  </si>
  <si>
    <t>Química Ambiental</t>
  </si>
  <si>
    <t>Servicios al Consumidor</t>
  </si>
  <si>
    <t>caracterización</t>
  </si>
  <si>
    <t>Conducción de Actividades Físico-Deportivas en el Medio Natural</t>
  </si>
  <si>
    <t>Operación y Mantenimiento de Maquinaria de Construcción</t>
  </si>
  <si>
    <t>Operaciones de Fabricación de Vidrio y Transformados</t>
  </si>
  <si>
    <t>Video Disc-jockey y Sonido</t>
  </si>
  <si>
    <t># Aprovechamiento del medio natural (0833)</t>
  </si>
  <si>
    <t># Conservación de las especies cinegéticas y piscícolas (0834)</t>
  </si>
  <si>
    <t># Control fitosanitario (0479)</t>
  </si>
  <si>
    <t># Fundamentos agronómicos (0404)</t>
  </si>
  <si>
    <t># Maquinaria e instalaciones forestales (0837)</t>
  </si>
  <si>
    <t># Prevención de incendios forestales (0836)</t>
  </si>
  <si>
    <t># Principios de sanidad vegetal (0409)</t>
  </si>
  <si>
    <t># Producción de planta forestal en vivero (0835)</t>
  </si>
  <si>
    <t># Repoblaciones forestales y tratamientos selvícolas (0832)</t>
  </si>
  <si>
    <t># Uso público en espacios naturales (0838)</t>
  </si>
  <si>
    <t># Atención sanitaria a bordo (1033)</t>
  </si>
  <si>
    <t># Instalación y mantenimiento de maquinaria de frío y climatización en buques y embarcaciones (1176)</t>
  </si>
  <si>
    <t># Mantenimiento de la planta propulsora y maquinaria auxiliar (1172)</t>
  </si>
  <si>
    <t># Mantenimiento de las instalaciones y máquinas eléctricas en buques y embarcaciones (1175)</t>
  </si>
  <si>
    <t># Procedimientos de guardia de máquinas (1177)</t>
  </si>
  <si>
    <t># Procedimientos de mecanizado y soldadura en buques y embarcaciones (1173)</t>
  </si>
  <si>
    <t># Regulación y mantenimiento de automatismos en buques y embarcaciones (1174)</t>
  </si>
  <si>
    <t># Seguridad marítima (1032)</t>
  </si>
  <si>
    <t># Construcción y obra hidráulica (0762)</t>
  </si>
  <si>
    <t># Corte y soldadura (0761)</t>
  </si>
  <si>
    <t># Instalaciones y equipos hiperbáricos (0759)</t>
  </si>
  <si>
    <t># Intervención hiperbárica con aire y nitrox (0758)</t>
  </si>
  <si>
    <t># Maniobra y propulsión (0765)</t>
  </si>
  <si>
    <t># Navegación (0764)</t>
  </si>
  <si>
    <t># Reparaciones y reflotamientos (0760)</t>
  </si>
  <si>
    <t># Atención a las unidades de convivencia (0339)</t>
  </si>
  <si>
    <t># Contexto de la intervención social (0337)</t>
  </si>
  <si>
    <t># Habilidades sociales (0017)</t>
  </si>
  <si>
    <t># Inserción sociolaboral (0338)</t>
  </si>
  <si>
    <t># Metodología de la intervención social (0344)</t>
  </si>
  <si>
    <t># Promoción de la autonomía personal (0342)</t>
  </si>
  <si>
    <t># Sistemas aumentativos y alternativos de comunicación (0343)</t>
  </si>
  <si>
    <t># Control de las emergencias (0800)</t>
  </si>
  <si>
    <t># Organización de la asistencia sanitaria a bordo (0802)</t>
  </si>
  <si>
    <t># Organización del mantenimiento de planta propulsora y maquinaria auxiliar de buques (1308)</t>
  </si>
  <si>
    <t># Organización del mantenimiento en seco de buques y embarcaciones y montaje de motores térmicos (1309)</t>
  </si>
  <si>
    <t># Organización del mantenimiento y montaje de instalaciones frigoríficas y sistemas de climatización de buques y embarcaciones (1312)</t>
  </si>
  <si>
    <t># Organización del mantenimiento y montaje de instalaciones y sistemas eléctricos de buques y embarcaciones (1311)</t>
  </si>
  <si>
    <t># Planificación del mantenimiento de maquinaria de buques y embarcaciones (1313)</t>
  </si>
  <si>
    <t># Programación y mantenimiento de automatismos hidráulicos y neumáticos en buques y embarcaciones (1310)</t>
  </si>
  <si>
    <t># Configuración de instalaciones domóticas y automáticas (0523)</t>
  </si>
  <si>
    <t># Configuración de instalaciones eléctricas (0524)</t>
  </si>
  <si>
    <t># Desarrollo de redes eléctricas y centros de transformación (0522)</t>
  </si>
  <si>
    <t># Documentación técnica en instalaciones eléctricas (0519)</t>
  </si>
  <si>
    <t># Procesos en instalaciones de infraestructuras comunes de telecomunicaciones (0517)</t>
  </si>
  <si>
    <t># Acabados en carpintería y mueble (0547)</t>
  </si>
  <si>
    <t># Control de almacén (0542)</t>
  </si>
  <si>
    <t># Documentación técnica (0543)</t>
  </si>
  <si>
    <t># Materiales en carpintería y mueble (0538)</t>
  </si>
  <si>
    <t># Mecanizado de madera y derivados (0544)</t>
  </si>
  <si>
    <t># Mecanizado por control numérico en carpintería y mueble (0545)</t>
  </si>
  <si>
    <t># Montaje de carpintería y mueble (0546)</t>
  </si>
  <si>
    <t># Operaciones básicas de carpintería (0540)</t>
  </si>
  <si>
    <t># Operaciones básicas de mobiliario (0541)</t>
  </si>
  <si>
    <t># Soluciones constructivas (0539)</t>
  </si>
  <si>
    <t># Composiciones florales y con plantas (0579)</t>
  </si>
  <si>
    <t># Implantación de jardines y zonas verdes (0576)</t>
  </si>
  <si>
    <t># Infraestructuras e instalaciones agrícolas (0408)</t>
  </si>
  <si>
    <t># Mantenimiento y mejora de jardines y zonas verdes (0577)</t>
  </si>
  <si>
    <t># Producción de plantas y tepes en vivero (0578)</t>
  </si>
  <si>
    <t># Taller y equipos de tracción (0407)</t>
  </si>
  <si>
    <t># Técnicas de venta en jardinería y floristería (0581)</t>
  </si>
  <si>
    <t># Automatismos y telecontrol en instalaciones de agua (1577)</t>
  </si>
  <si>
    <t># Planificación y replanteo (1572)</t>
  </si>
  <si>
    <t># Sistemas eléctricos en instalaciones de agua (1576)</t>
  </si>
  <si>
    <t># Técnicas de montaje en instalaciones de agua (1580)</t>
  </si>
  <si>
    <t># Calidad del agua (1564)</t>
  </si>
  <si>
    <t># Instalaciones eléctricas en redes de agua (1561)</t>
  </si>
  <si>
    <t># Mantenimiento de equipos e instalaciones (1566)</t>
  </si>
  <si>
    <t># Montaje y mantenimiento de instalaciones de agua (0310)</t>
  </si>
  <si>
    <t># Replanteo en redes de agua (1559)</t>
  </si>
  <si>
    <t># Técnicas de mecanizado y unión (1562)</t>
  </si>
  <si>
    <t># Despacho y administración del buque (1030)</t>
  </si>
  <si>
    <t># Estabilidad, trimado y estiba del buque (1036)</t>
  </si>
  <si>
    <t># Instalaciones y servicios (1034)</t>
  </si>
  <si>
    <t># Pesca de litoral (1029)</t>
  </si>
  <si>
    <t># Técnicas de maniobra (1035)</t>
  </si>
  <si>
    <t># Técnicas de navegación y comunicaciones (1027)</t>
  </si>
  <si>
    <t># Circuitos auxiliares (0975)</t>
  </si>
  <si>
    <t># Mecanizado básico (0260)</t>
  </si>
  <si>
    <t># Motores (0452)</t>
  </si>
  <si>
    <t># Sistemas auxiliares del motor diésel (0742)</t>
  </si>
  <si>
    <t># Certificación energética de edificios (0350)</t>
  </si>
  <si>
    <t># Equipos e instalaciones térmicas (0121)</t>
  </si>
  <si>
    <t># Procesos de montaje de instalaciones (0122)</t>
  </si>
  <si>
    <t># Representación gráfica de instalaciones (0123)</t>
  </si>
  <si>
    <t># Dirección de entidades de intermediación turística (0399)</t>
  </si>
  <si>
    <t># Empresa e iniciativa emprendedora (0402)</t>
  </si>
  <si>
    <t># Estructura del mercado turístico (0171)</t>
  </si>
  <si>
    <t># Gestión de productos turísticos (0397)</t>
  </si>
  <si>
    <t># Marketing turístico (0173)</t>
  </si>
  <si>
    <t># Protocolo y relaciones públicas (0172)</t>
  </si>
  <si>
    <t># Venta de servicios turísticos (0398)</t>
  </si>
  <si>
    <t># Destinos turísticos (0383)</t>
  </si>
  <si>
    <t># Diseño de productos turísticos (0387)</t>
  </si>
  <si>
    <t># Procesos de guía y asistencia turística (0386)</t>
  </si>
  <si>
    <t># Recursos turísticos (0384)</t>
  </si>
  <si>
    <t># Servicios de información turística (0385)</t>
  </si>
  <si>
    <t># Autonomía personal y salud infantil (0012)</t>
  </si>
  <si>
    <t># Desarrollo cognitivo y motor (0015)</t>
  </si>
  <si>
    <t># Desarrollo socioafectivo (0016)</t>
  </si>
  <si>
    <t># Didáctica de la Educación Infantil (0011)</t>
  </si>
  <si>
    <t># El juego infantil y su metodología (0013)</t>
  </si>
  <si>
    <t># Expresión y comunicación (0014)</t>
  </si>
  <si>
    <t># Habilidades sociales(2) (0017)</t>
  </si>
  <si>
    <t># Análisis instrumental (0067)</t>
  </si>
  <si>
    <t># Análisis químicos (0066)</t>
  </si>
  <si>
    <t># Calidad y seguridad en el laboratorio (0072)</t>
  </si>
  <si>
    <t># Ensayos fisicoquímicos (0069)</t>
  </si>
  <si>
    <t># Ensayos físicos (0068)</t>
  </si>
  <si>
    <t># Ensayos microbiológicos (0070)</t>
  </si>
  <si>
    <t># Muestreo y preparación de la muestra (0065)</t>
  </si>
  <si>
    <t># Ofertas gastronómicas (0045)</t>
  </si>
  <si>
    <t># Postres en restauración (0028)</t>
  </si>
  <si>
    <t># Preelaboración y conservación de alimentos (0046)</t>
  </si>
  <si>
    <t># Procesos básicos de pastelería y repostería (0026)</t>
  </si>
  <si>
    <t># Productos culinarios (0048)</t>
  </si>
  <si>
    <t># Técnicas culinarias (0047)</t>
  </si>
  <si>
    <t># Mantenimiento mecánico preventivo del vehículo (0052)</t>
  </si>
  <si>
    <t># Fabricación por abrasión, electroerosión, corte y conformado, y por procesos especiales (0003)</t>
  </si>
  <si>
    <t># Fabricación por arranque de viruta (0004)</t>
  </si>
  <si>
    <t># Interpretación gráfica (0007)</t>
  </si>
  <si>
    <t># Mecanizado por control numérico (0002)</t>
  </si>
  <si>
    <t># Metrología y ensayos (0006)</t>
  </si>
  <si>
    <t># Procesos de mecanizado (0001)</t>
  </si>
  <si>
    <t># Sistemas automatizados (0005)</t>
  </si>
  <si>
    <t># Elaboraciones de confitería y otras especialidades (0027)</t>
  </si>
  <si>
    <t># Elaboraciones de panadería-bollería (0025)</t>
  </si>
  <si>
    <t># Materias primas y procesos en panadería, pastelería y repostería (0024)</t>
  </si>
  <si>
    <t># Operaciones y control de almacén en la industria alimentaria (0030)</t>
  </si>
  <si>
    <t># Presentación y venta de productos de panadería y pastelería (0032)</t>
  </si>
  <si>
    <t># Productos de obrador (0029)</t>
  </si>
  <si>
    <t># Seguridad e higiene en la manipulación de alimentos (0031)</t>
  </si>
  <si>
    <t># Atención al cliente, consumidor y usuario (1110)</t>
  </si>
  <si>
    <t># Gestión económica y financiera de la empresa (0623)</t>
  </si>
  <si>
    <t># Lanzamiento de productos y servicios (1109)</t>
  </si>
  <si>
    <t># Medios y soportes de comunicación (1008)</t>
  </si>
  <si>
    <t># Políticas de marketing (0930)</t>
  </si>
  <si>
    <t># Comercialización del transporte y la logística (0624)</t>
  </si>
  <si>
    <t># Gestión administrativa del comercio internacional (0627)</t>
  </si>
  <si>
    <t># Logística de almacenamiento (0625)</t>
  </si>
  <si>
    <t># Logística de aprovisionamiento (0626)</t>
  </si>
  <si>
    <t># Organización del transporte de mercancías (0629)</t>
  </si>
  <si>
    <t># Organización del transporte de viajeros (0628)</t>
  </si>
  <si>
    <t># Transporte internacional de mercancías (0622)</t>
  </si>
  <si>
    <t># Investigación comercial (1010)</t>
  </si>
  <si>
    <t># Financiación internacional (0825)</t>
  </si>
  <si>
    <t># Marketing internacional (0823)</t>
  </si>
  <si>
    <t># Medios de pago internacionales (0826)</t>
  </si>
  <si>
    <t># Negociación internacional (0824)</t>
  </si>
  <si>
    <t># Cubiertas (1004)</t>
  </si>
  <si>
    <t># Encofrados (0999)</t>
  </si>
  <si>
    <t># Fábricas (0997)</t>
  </si>
  <si>
    <t># Hormigón armado (1000)</t>
  </si>
  <si>
    <t># Impermeabilizaciones y aislamientos (1005)</t>
  </si>
  <si>
    <t># Interpretación de planos de construcción (0996)</t>
  </si>
  <si>
    <t># Obras de urbanización (1002)</t>
  </si>
  <si>
    <t># Organización de trabajos de construcción (1001)</t>
  </si>
  <si>
    <t># Revestimientos (0998)</t>
  </si>
  <si>
    <t># Solados, alicatados y chapados (1003)</t>
  </si>
  <si>
    <t># Configuración de sistemas mecatrónicos (0941)</t>
  </si>
  <si>
    <t># Elementos de máquinas (0938)</t>
  </si>
  <si>
    <t># Procesos de fabricación (0939)</t>
  </si>
  <si>
    <t># Procesos y gestión de mantenimiento y calidad (0942)</t>
  </si>
  <si>
    <t># Representación gráfica de sistemas mecatrónicos (0940)</t>
  </si>
  <si>
    <t># Simulación de sistemas mecatrónicos (0944)</t>
  </si>
  <si>
    <t># Sistemas eléctricos y electrónicos (0937)</t>
  </si>
  <si>
    <t># Sistemas hidráulicos y neumáticos (0936)</t>
  </si>
  <si>
    <t># Sistemas mecánicos (0935)</t>
  </si>
  <si>
    <t># Procesos fisiológicos y de higiene en imagen personal (0750)</t>
  </si>
  <si>
    <t># Circuitos electrónicos analógicos (1051)</t>
  </si>
  <si>
    <t># Equipos microprogramables (1052)</t>
  </si>
  <si>
    <t># Infraestructuras y desarrollo del mantenimiento electrónico (1059)</t>
  </si>
  <si>
    <t># Técnicas y procesos de montaje y mantenimiento de equipos electrónicos (1058)</t>
  </si>
  <si>
    <t># Automatización en carpintería y mueble (0987)</t>
  </si>
  <si>
    <t># Desarrollo de producto en carpintería y mueble (0986)</t>
  </si>
  <si>
    <t># Fabricación en carpintería y mueble (0983)</t>
  </si>
  <si>
    <t># Gestión de la producción en carpintería y mueble (0990)</t>
  </si>
  <si>
    <t># Instalaciones de carpintería y mobiliario (0988)</t>
  </si>
  <si>
    <t># Procesos en industrias de carpintería y mueble (0982)</t>
  </si>
  <si>
    <t># Prototipos en carpintería y mueble (0985)</t>
  </si>
  <si>
    <t># Representación en carpintería y mobiliario (0984)</t>
  </si>
  <si>
    <t># Análisis de diseños en textil y piel (0283)</t>
  </si>
  <si>
    <t># Procesos de ennoblecimiento y estampación (0444)</t>
  </si>
  <si>
    <t># Procesos y análisis de hilatura (0281)</t>
  </si>
  <si>
    <t># Procesos y análisis de tejidos y no tejidos (0282)</t>
  </si>
  <si>
    <t># Comunicaciones industriales (0967)</t>
  </si>
  <si>
    <t># Documentación técnica (0963)</t>
  </si>
  <si>
    <t># Informática industrial (0964)</t>
  </si>
  <si>
    <t># Integración de sistemas de automatización industrial (0968)</t>
  </si>
  <si>
    <t># Sistemas de medida y regulación (0961)</t>
  </si>
  <si>
    <t># Sistemas de potencia (0962)</t>
  </si>
  <si>
    <t># Sistemas eléctricos, neumáticos e hidráulicos (0959)</t>
  </si>
  <si>
    <t># Sistemas programables avanzados (0965)</t>
  </si>
  <si>
    <t># Sistemas secuenciales programables (0960)</t>
  </si>
  <si>
    <t># Comunicación y atención al cliente (0651)</t>
  </si>
  <si>
    <t># Gestión de la documentación jurídica y empresarial (0647)</t>
  </si>
  <si>
    <t># Ofimática y proceso de la información (0649)</t>
  </si>
  <si>
    <t># Organización de eventos empresariales (0662)</t>
  </si>
  <si>
    <t># Protocolo empresarial (0661)</t>
  </si>
  <si>
    <t># Realización de proyectos multimedia interactivos (1090)</t>
  </si>
  <si>
    <t># Contabilidad y fiscalidad (0654)</t>
  </si>
  <si>
    <t># Gestión de recursos humanos (0652)</t>
  </si>
  <si>
    <t># Gestión financiera (0653)</t>
  </si>
  <si>
    <t># Gestión logística y comercial (0655)</t>
  </si>
  <si>
    <t># Simulación empresarial (0656)</t>
  </si>
  <si>
    <t># Gestión medioambiental de los procesos acuícolas (1021)</t>
  </si>
  <si>
    <t># Instalaciones, innovación y sistemas de automatización en acuicultura (1019)</t>
  </si>
  <si>
    <t># Técnicas y gestión de la producción de crustáceos (1018)</t>
  </si>
  <si>
    <t># Técnicas y gestión de la producción de cultivos auxiliares (1015)</t>
  </si>
  <si>
    <t># Técnicas y gestión de la producción de moluscos (1017)</t>
  </si>
  <si>
    <t># Técnicas y gestión de la producción de peces (1016)</t>
  </si>
  <si>
    <t># Gestión de la producción animal (1275)</t>
  </si>
  <si>
    <t># Maquinaria e instalaciones ganaderas (1278)</t>
  </si>
  <si>
    <t># Organización y control de la reproducción y cría (1274)</t>
  </si>
  <si>
    <t># Compaginación (0870)</t>
  </si>
  <si>
    <t># Identificación de materiales en preimpresión (0871)</t>
  </si>
  <si>
    <t># Ilustración vectorial (0873)</t>
  </si>
  <si>
    <t># Tratamiento de imagen en mapa de bits (0867)</t>
  </si>
  <si>
    <t># Tratamiento de textos (0866)</t>
  </si>
  <si>
    <t># Análisis capilar (0849)</t>
  </si>
  <si>
    <t># Cambios de forma permanente del cabello (0846)</t>
  </si>
  <si>
    <t># Coloración capilar (0843)</t>
  </si>
  <si>
    <t># Cosmética para peluquería (0844)</t>
  </si>
  <si>
    <t># Estética de manos y pies (0636)</t>
  </si>
  <si>
    <t># Imagen corporal y hábitos saludables (0640)</t>
  </si>
  <si>
    <t># Marketing y venta en imagen personal (0643)</t>
  </si>
  <si>
    <t># Peinados y recogidos (0842)</t>
  </si>
  <si>
    <t># Técnicas de corte del cabello (0845)</t>
  </si>
  <si>
    <t># Automatismos neumáticos e hidráulicos (0952)</t>
  </si>
  <si>
    <t># Electricidad y automatismos eléctricos (0951)</t>
  </si>
  <si>
    <t># Montaje y mantenimiento de líneas automatizadas (0955)</t>
  </si>
  <si>
    <t># Montaje y mantenimiento eléctrico-electrónico (0954)</t>
  </si>
  <si>
    <t># Montaje y mantenimiento mecánico (0953)</t>
  </si>
  <si>
    <t># Técnicas de fabricación (0949)</t>
  </si>
  <si>
    <t># Técnicas de unión y montaje (0950)</t>
  </si>
  <si>
    <t># Desarrollo de la tirada offset (0878)</t>
  </si>
  <si>
    <t># Preparación de materiales para impresión (0882)</t>
  </si>
  <si>
    <t># Preparación y regulación de máquinas offset (0877)</t>
  </si>
  <si>
    <t># Acabados textiles (1041)</t>
  </si>
  <si>
    <t># Aplicación de aprestos (1040)</t>
  </si>
  <si>
    <t># Estampación (1043)</t>
  </si>
  <si>
    <t># Fabricación de hilatura y telas no tejidas (1044)</t>
  </si>
  <si>
    <t># Materias textiles y piel (0275)</t>
  </si>
  <si>
    <t># Preparación y tintura (1042)</t>
  </si>
  <si>
    <t># Principios de mantenimiento electromecánico (0116)</t>
  </si>
  <si>
    <t># Técnicas de tejeduría de calada (1045)</t>
  </si>
  <si>
    <t># Técnicas de tejeduría de punto por recogida (1046)</t>
  </si>
  <si>
    <t># Técnicas de tejeduría de punto por urdimbre (1047)</t>
  </si>
  <si>
    <t># Apoyo a la comunicación (0214)</t>
  </si>
  <si>
    <t># Apoyo domiciliario (0215)</t>
  </si>
  <si>
    <t># Atención higiénica (0217)</t>
  </si>
  <si>
    <t># Atención sanitaria (0216)</t>
  </si>
  <si>
    <t># Atención y apoyo psicosocial (0213)</t>
  </si>
  <si>
    <t># Características y necesidades de las personas en situación de dependencia (0212)</t>
  </si>
  <si>
    <t># Destrezas sociales (0211)</t>
  </si>
  <si>
    <t># Organización de la atención a las personas en situación de dependencia (0210)</t>
  </si>
  <si>
    <t># Administración de sistemas gestores de bases de datos (0377)</t>
  </si>
  <si>
    <t># Fundamentos de hardware (0371)</t>
  </si>
  <si>
    <t># Gestión de bases de datos (0372)</t>
  </si>
  <si>
    <t># Implantación de sistemas operativos (0369)</t>
  </si>
  <si>
    <t># Planificación y administración de redes (0370)</t>
  </si>
  <si>
    <t># Automatización de la fabricación (0431)</t>
  </si>
  <si>
    <t># Diseño de moldes y modelos de fundición (0429)</t>
  </si>
  <si>
    <t># Diseño de productos mecánicos (0427)</t>
  </si>
  <si>
    <t># Diseño de útiles de procesado de chapa y estampación (0428)</t>
  </si>
  <si>
    <t># Representación gráfica en fabricación mecánica (0245)</t>
  </si>
  <si>
    <t># Técnicas de fabricación mecánica (0432)</t>
  </si>
  <si>
    <t># Comunicación empresarial y atención al cliente (0437)</t>
  </si>
  <si>
    <t># Empresa y Administración (0439)</t>
  </si>
  <si>
    <t># Operaciones administrativas de compra-venta (0438)</t>
  </si>
  <si>
    <t># Operaciones administrativas de recursos humanos (0442)</t>
  </si>
  <si>
    <t># Operaciones auxiliares de gestión de tesorería (0448)</t>
  </si>
  <si>
    <t># Técnica contable (0441)</t>
  </si>
  <si>
    <t># Tratamiento de la documentación contable (0443)</t>
  </si>
  <si>
    <t># Tratamiento informático de la información (0440)</t>
  </si>
  <si>
    <t># Electrónica aplicada (0359)</t>
  </si>
  <si>
    <t># Equipos microinformáticos (0360)</t>
  </si>
  <si>
    <t># Infraestructuras comunes de telecomunicación en viviendas y edificios (0237)</t>
  </si>
  <si>
    <t># Infraestructuras de redes de datos y sistemas de telefonía (0361)</t>
  </si>
  <si>
    <t># Instalaciones domóticas (0238)</t>
  </si>
  <si>
    <t># Instalaciones eléctricas básicas (0362)</t>
  </si>
  <si>
    <t># Comercialización de productos agroecológicos (0413)</t>
  </si>
  <si>
    <t># Fundamentos zootécnicos (0405)</t>
  </si>
  <si>
    <t># Implantación de cultivos (0475)</t>
  </si>
  <si>
    <t># Producción agrícola (0476)</t>
  </si>
  <si>
    <t># Producción de carne y otras producciones ganaderas (0478)</t>
  </si>
  <si>
    <t># Producción de leche, huevos y animales para vida (0477)</t>
  </si>
  <si>
    <t># Materiales en textil, confección y piel (0276)</t>
  </si>
  <si>
    <t># Planificación de la realización en cine y vídeo (0902)</t>
  </si>
  <si>
    <t># Planificación de la realización en televisión (0904)</t>
  </si>
  <si>
    <t># Planificación del montaje y postproducción de audiovisuales (0906)</t>
  </si>
  <si>
    <t># Procesos de realización en cine y vídeo (0903)</t>
  </si>
  <si>
    <t># Procesos de realización en televisión (0905)</t>
  </si>
  <si>
    <t># Realización del montaje y postproducción de audiovisuales (0907)</t>
  </si>
  <si>
    <t># Administración y promoción de audiovisuales y espectáculos (0921)</t>
  </si>
  <si>
    <t># Gestión de proyectos de cine, vídeo y multimedia (0916)</t>
  </si>
  <si>
    <t># Gestión de proyectos de espectáculos y eventos (0919)</t>
  </si>
  <si>
    <t># Gestión de proyectos de televisión y radio (0917)</t>
  </si>
  <si>
    <t># Medios técnicos audiovisuales y escénicos (0910)</t>
  </si>
  <si>
    <t># Planificación de proyectos audiovisuales (0915)</t>
  </si>
  <si>
    <t># Planificación de proyectos de espectáculos y eventos (0918)</t>
  </si>
  <si>
    <t># Recursos expresivos audiovisuales y escénicos (0920)</t>
  </si>
  <si>
    <t># Ajustes de sistemas de sonorización (1101)</t>
  </si>
  <si>
    <t># Comunicación y expresión sonora (1104)</t>
  </si>
  <si>
    <t># Grabación en estudio (1100)</t>
  </si>
  <si>
    <t># Postproducción de sonido (1102)</t>
  </si>
  <si>
    <t># Sonido para audiovisuales (1098)</t>
  </si>
  <si>
    <t># Guillotinado y plegado (1214)</t>
  </si>
  <si>
    <t># Troquelado (1217)</t>
  </si>
  <si>
    <t># Actividades de ocio y tiempo libre (1123)</t>
  </si>
  <si>
    <t># Animación turística (1126)</t>
  </si>
  <si>
    <t># Animación y gestión cultural (1125)</t>
  </si>
  <si>
    <t># Desarrollo comunitario (1128)</t>
  </si>
  <si>
    <t># Dinamización grupal (1124)</t>
  </si>
  <si>
    <t># Acústica y elementos de protección sonora (0201)</t>
  </si>
  <si>
    <t># Características anatomosensoriales auditivas (0199)</t>
  </si>
  <si>
    <t># Elaboración de moldes y protectores auditivos (0202)</t>
  </si>
  <si>
    <t># Elección y adaptación de prótesis auditivas (0203)</t>
  </si>
  <si>
    <t># Tecnología electrónica en audioprótesis (0200)</t>
  </si>
  <si>
    <t># Asesoría de peluquería (1184)</t>
  </si>
  <si>
    <t># Asesoría estética (1187)</t>
  </si>
  <si>
    <t># Diseño de imagen integral (1182)</t>
  </si>
  <si>
    <t># Estilismo en vestuario y complementos (1183)</t>
  </si>
  <si>
    <t># Habilidades comunicativas (1188)</t>
  </si>
  <si>
    <t># Protocolo y organización de eventos (1185)</t>
  </si>
  <si>
    <t># Usos sociales (1186)</t>
  </si>
  <si>
    <t># Dirección de alojamientos turísticos (0174)</t>
  </si>
  <si>
    <t># Gestión del departamento de pisos (0175)</t>
  </si>
  <si>
    <t># Recepción y reservas (0176)</t>
  </si>
  <si>
    <t># Recursos humanos en el alojamiento (0177)</t>
  </si>
  <si>
    <t># Control de la iluminación (1162)</t>
  </si>
  <si>
    <t># Grabación y edición de reportajes audiovisuales (1167)</t>
  </si>
  <si>
    <t># Luminotecnia (1161)</t>
  </si>
  <si>
    <t># Planificación de cámara en audiovisuales (1158)</t>
  </si>
  <si>
    <t># Proyectos de iluminación (1160)</t>
  </si>
  <si>
    <t># Proyectos fotográficos (1163)</t>
  </si>
  <si>
    <t># Toma de imagen audiovisual (1159)</t>
  </si>
  <si>
    <t># Toma fotográfica (1164)</t>
  </si>
  <si>
    <t># Tratamiento fotográfico digital (1165)</t>
  </si>
  <si>
    <t># Definición de procesos de mecanizado, conformado y montaje (0160)</t>
  </si>
  <si>
    <t># Ejecución de procesos de fabricación (0164)</t>
  </si>
  <si>
    <t># Fabricación asistida por ordenador (CAM) (0161)</t>
  </si>
  <si>
    <t># Gestión de la calidad, prevención de riesgos laborales y protección ambiental (0165)</t>
  </si>
  <si>
    <t># Programación de la producción (0163)</t>
  </si>
  <si>
    <t># Programación de sistemas automáticos de fabricación mecánica (0162)</t>
  </si>
  <si>
    <t># Verificación de productos (0166)</t>
  </si>
  <si>
    <t># Aparatos de ortodoncia y férulas oclusales (0856)</t>
  </si>
  <si>
    <t># Diseño funcional de prótesis (0854)</t>
  </si>
  <si>
    <t># Empresa e iniciativa emprendedora (0863)</t>
  </si>
  <si>
    <t># Laboratorio de prótesis dentales (0821)</t>
  </si>
  <si>
    <t># Prótesis completas (0855)</t>
  </si>
  <si>
    <t># Prótesis parciales removibles metálicas, de resina y mixta (0858)</t>
  </si>
  <si>
    <t># Prótesis sobre implantes (0860)</t>
  </si>
  <si>
    <t># Restauraciones y estructuras metálicas en prótesis fija (0857)</t>
  </si>
  <si>
    <t># Restauraciones y recubrimientos estéticos (0859)</t>
  </si>
  <si>
    <t># Análisis enológico (0081)</t>
  </si>
  <si>
    <t># Comercialización y logística en la industria alimentaria (0084)</t>
  </si>
  <si>
    <t># Gestión de calidad y ambiental en la industria alimentaria (0086)</t>
  </si>
  <si>
    <t># Dinamización del punto de venta (1231)</t>
  </si>
  <si>
    <t># Gestión de un pequeño comercio (1227)</t>
  </si>
  <si>
    <t># Procesos de venta (1232)</t>
  </si>
  <si>
    <t># Servicios de atención comercial (1234)</t>
  </si>
  <si>
    <t># Técnicas de almacén (1228)</t>
  </si>
  <si>
    <t># Dispensación de productos farmacéuticos (0101)</t>
  </si>
  <si>
    <t># Dispensación de productos parafarmacéuticos (0102)</t>
  </si>
  <si>
    <t># Formulación magistral (0104)</t>
  </si>
  <si>
    <t># Oficina de farmacia (0100)</t>
  </si>
  <si>
    <t># Operaciones básicas de laboratorio (0103)</t>
  </si>
  <si>
    <t># Primeros auxilios (0020)</t>
  </si>
  <si>
    <t># Promoción de la salud (0105)</t>
  </si>
  <si>
    <t># Organización de trabajos de interior, decoración y rehabilitación (1200)</t>
  </si>
  <si>
    <t># Particiones prefabricadas (1195)</t>
  </si>
  <si>
    <t># Pintura decorativa en construcción (1199)</t>
  </si>
  <si>
    <t># Revestimientos continuos (1194)</t>
  </si>
  <si>
    <t># Revestimientos ligeros (1198)</t>
  </si>
  <si>
    <t># Servicios en bar-cafetería (0152)</t>
  </si>
  <si>
    <t># Servicios en restaurante y eventos especiales (0153)</t>
  </si>
  <si>
    <t># Aplicaciones ofimáticas (0223)</t>
  </si>
  <si>
    <t># Aplicaciones web (0228)</t>
  </si>
  <si>
    <t># Montaje y mantenimiento de equipo (0221)</t>
  </si>
  <si>
    <t># Redes locales (0225)</t>
  </si>
  <si>
    <t># Servicios en red (0227)</t>
  </si>
  <si>
    <t># Sistemas operativos en red (0224)</t>
  </si>
  <si>
    <t># Sistemas operativos monopuesto (0222)</t>
  </si>
  <si>
    <t># Administración y gestión del buque y de la actividad pesquera (0803)</t>
  </si>
  <si>
    <t># Maniobra y estiba (0798)</t>
  </si>
  <si>
    <t># Navegación, gobierno y comunicaciones del buque (0799)</t>
  </si>
  <si>
    <t># Pesca de altura y gran altura (0805)</t>
  </si>
  <si>
    <t># Mecanizado (0092)</t>
  </si>
  <si>
    <t># Montaje (0095)</t>
  </si>
  <si>
    <t># Soldadura en atmósfera natural (0093)</t>
  </si>
  <si>
    <t># Soldadura en atmósfera protegida (0094)</t>
  </si>
  <si>
    <t># Trazado, corte y conformado (0091)</t>
  </si>
  <si>
    <t># Definición de procesos de construcciones metálicas (0247)</t>
  </si>
  <si>
    <t># Diseño de construcciones metálicas (0246)</t>
  </si>
  <si>
    <t># Procesos de mecanizado, corte y conformado en construcciones metálicas (0248)</t>
  </si>
  <si>
    <t># Procesos de unión y montaje en construcciones metálicas (0249)</t>
  </si>
  <si>
    <t># Comercialización de productos gráficos y atención al cliente (1480)</t>
  </si>
  <si>
    <t># Desarrollo y publicación de productos editoriales multimedia (1485)</t>
  </si>
  <si>
    <t># Diseño de productos gráficos (1479)</t>
  </si>
  <si>
    <t># Gestión de la producción en procesos de edición (1481)</t>
  </si>
  <si>
    <t># Materiales de producción gráfica (1417)</t>
  </si>
  <si>
    <t># Organización de los procesos de preimpresión digital (1478)</t>
  </si>
  <si>
    <t># Producción editorial (1482)</t>
  </si>
  <si>
    <t># Generación y recuperación de energía (0187)</t>
  </si>
  <si>
    <t># Mantenimiento electromecánico en industrias de proceso (0191)</t>
  </si>
  <si>
    <t># Operaciones básicas en la industria química (0188)</t>
  </si>
  <si>
    <t># Organización y gestión en industrias químicas (0185)</t>
  </si>
  <si>
    <t># Prevención de riesgos en industrias químicas (0194)</t>
  </si>
  <si>
    <t># Reactores químicos (0189)</t>
  </si>
  <si>
    <t># Regulación y control de proceso químico (0190)</t>
  </si>
  <si>
    <t># Transporte de sólidos y fluidos (0186)</t>
  </si>
  <si>
    <t># Gestión de la producción en la industria gráfica (1538)</t>
  </si>
  <si>
    <t># Gestión del color (1539)</t>
  </si>
  <si>
    <t># Organización de los procesos de impresión gráfica (1540)</t>
  </si>
  <si>
    <t># Organización de los procesos de postimpresión, transformados y acabados (1541)</t>
  </si>
  <si>
    <t># Elementos amovibles (0254)</t>
  </si>
  <si>
    <t># Elementos estructurales del vehículo (0258)</t>
  </si>
  <si>
    <t># Elementos fijos (0256)</t>
  </si>
  <si>
    <t># Elementos metálicos y sintéticos (0255)</t>
  </si>
  <si>
    <t># Embellecimiento de superficies (0259)</t>
  </si>
  <si>
    <t># Preparación de superficies (0257)</t>
  </si>
  <si>
    <t># Automatismos industriales (0232)</t>
  </si>
  <si>
    <t># Electrónica (0233)</t>
  </si>
  <si>
    <t># Electrotecnia (0234)</t>
  </si>
  <si>
    <t># Instalaciones de distribución (0236)</t>
  </si>
  <si>
    <t># Instalaciones eléctricas interiores (0235)</t>
  </si>
  <si>
    <t># Máquinas eléctricas (0240)</t>
  </si>
  <si>
    <t># Control de procesos químicos industriales (0112)</t>
  </si>
  <si>
    <t># Operaciones de generación y transferencia de energía en proceso químico (0113)</t>
  </si>
  <si>
    <t># Operaciones de reacción en planta química (0111)</t>
  </si>
  <si>
    <t># Operaciones unitarias en planta química (0110)</t>
  </si>
  <si>
    <t># Parámetros químicos (0109)</t>
  </si>
  <si>
    <t># Transporte de materiales en la industria química (0114)</t>
  </si>
  <si>
    <t># Tratamiento de aguas (0115)</t>
  </si>
  <si>
    <t># Instalaciones eléctricas y automatismos (0038)</t>
  </si>
  <si>
    <t># Máquinas y equipos térmicos (0036)</t>
  </si>
  <si>
    <t># Montaje y mantenimiento de instalaciones caloríficas (0302)</t>
  </si>
  <si>
    <t># Montaje y mantenimiento de instalaciones de energía solar (0392)</t>
  </si>
  <si>
    <t># Montaje y mantenimiento de instalaciones de gas y combustibles líquidos (0393)</t>
  </si>
  <si>
    <t># Técnicas de montaje de instalaciones (0037)</t>
  </si>
  <si>
    <t># Montaje y mantenimiento de equipos de refrigeración comercial (0040)</t>
  </si>
  <si>
    <t># Montaje y mantenimiento de instalaciones de climatización, ventilación y extracción (0042)</t>
  </si>
  <si>
    <t># Montaje y mantenimiento de instalaciones frigoríficas industriales (0041)</t>
  </si>
  <si>
    <t># Elementos amovibles y fijos no estructurales (0294)</t>
  </si>
  <si>
    <t># Estructuras del vehículo (0296)</t>
  </si>
  <si>
    <t># Gestión y logística del mantenimiento de vehículos (0297)</t>
  </si>
  <si>
    <t># Motores térmicos y sus sistemas auxiliares (0293)</t>
  </si>
  <si>
    <t># Sistemas de transmisión de fuerzas y trenes de rodaje (0292)</t>
  </si>
  <si>
    <t># Sistemas eléctricos y de seguridad y confortabilidad (0291)</t>
  </si>
  <si>
    <t># Tratamiento y recubrimiento de superficies (0295)</t>
  </si>
  <si>
    <t># Cerámicas avanzadas (0311)</t>
  </si>
  <si>
    <t># Control de procesos de fabricación de productos cerámicos (0308)</t>
  </si>
  <si>
    <t># Desarrollo de fritas, pigmentos y esmaltes cerámicos (0304)</t>
  </si>
  <si>
    <t># Desarrollo de pastas cerámicas (0303)</t>
  </si>
  <si>
    <t># Desarrollo de productos cerámicos (0305)</t>
  </si>
  <si>
    <t># Fabricación de fritas, pigmentos y esmaltes cerámicos (0307)</t>
  </si>
  <si>
    <t># Fabricación de pastas cerámicas y de productos cerámicos conformados (0306)</t>
  </si>
  <si>
    <t># Proyecto de fabricación de productos cerámicos (0312)</t>
  </si>
  <si>
    <t># Acondicionamiento de aceites de oliva (0319)</t>
  </si>
  <si>
    <t># Análisis sensorial (0321)</t>
  </si>
  <si>
    <t># Elaboración de otras bebidas y derivados (0320)</t>
  </si>
  <si>
    <t># Elaboración de vinos (0318)</t>
  </si>
  <si>
    <t># Extracción de aceites de oliva (0317)</t>
  </si>
  <si>
    <t># Materias primas y productos en la industria oleícola, vinícola y de otras bebidas (0316)</t>
  </si>
  <si>
    <t># Venta y comercialización de productos alimentarios (0146)</t>
  </si>
  <si>
    <t># Configuración de instalaciones de climatización, calefacción y ACS (0125)</t>
  </si>
  <si>
    <t># Configuración de instalaciones de fluidos (0127)</t>
  </si>
  <si>
    <t># Configuración de instalaciones frigoríficas (0126)</t>
  </si>
  <si>
    <t># Energías renovables y eficiencia energética (0124)</t>
  </si>
  <si>
    <t># Planificación del montaje de instalaciones (0128)</t>
  </si>
  <si>
    <t># Sistemas eléctricos y automáticos (0120)</t>
  </si>
  <si>
    <t># Configuración de instalaciones térmicas y de fluidos (0134)</t>
  </si>
  <si>
    <t># Gestión del montaje, de la calidad y del mantenimiento (0133)</t>
  </si>
  <si>
    <t># Mantenimiento de instalaciones caloríficas y de fluidos (0136)</t>
  </si>
  <si>
    <t># Mantenimiento de instalaciones frigoríficas y de climatización (0135)</t>
  </si>
  <si>
    <t># Instalaciones y equipos de cultivo (0706)</t>
  </si>
  <si>
    <t># Técnicas de criadero de moluscos (0708)</t>
  </si>
  <si>
    <t># Técnicas de criadero de peces (0707)</t>
  </si>
  <si>
    <t># Técnicas de cultivo de crustáceos (0709)</t>
  </si>
  <si>
    <t># Técnicas de cultivos auxiliares (0703)</t>
  </si>
  <si>
    <t># Técnicas de engorde de moluscos (0705)</t>
  </si>
  <si>
    <t># Técnicas de engorde de peces (0704)</t>
  </si>
  <si>
    <t># Sistemas de carga y arranque (0456)</t>
  </si>
  <si>
    <t># Cosmetología para estética y belleza (0641)</t>
  </si>
  <si>
    <t># Depilación mecánica y decoloración del vello (0635)</t>
  </si>
  <si>
    <t># Maquillaje (0634)</t>
  </si>
  <si>
    <t># Técnicas de higiene facial y corporal (0633)</t>
  </si>
  <si>
    <t># Técnicas de uñas artificiales (0637)</t>
  </si>
  <si>
    <t># Confección industrial (0269)</t>
  </si>
  <si>
    <t># Corte de materiales (0267)</t>
  </si>
  <si>
    <t># Montado y acabado de artículos de marroquinería (0603)</t>
  </si>
  <si>
    <t># Montado y acabado de calzado (0604)</t>
  </si>
  <si>
    <t># Conservación de jardines y céspedes deportivos (0698)</t>
  </si>
  <si>
    <t># Diseño de jardines y restauración del paisaje (0697)</t>
  </si>
  <si>
    <t># Fitopatología (0692)</t>
  </si>
  <si>
    <t># Gestión de cultivos (0696)</t>
  </si>
  <si>
    <t># Gestión y organización del vivero (0691)</t>
  </si>
  <si>
    <t># Maquinaria e instalaciones agroforestales (0694)</t>
  </si>
  <si>
    <t># Planificación de cultivos (0695)</t>
  </si>
  <si>
    <t># Defensa contra incendios forestales (0816)</t>
  </si>
  <si>
    <t># Gestión cinegética (0812)</t>
  </si>
  <si>
    <t># Gestión de la conservación del medio natural (0815)</t>
  </si>
  <si>
    <t># Gestión de la pesca continental (0813)</t>
  </si>
  <si>
    <t># Gestión de los aprovechamientos del medio forestal (0810)</t>
  </si>
  <si>
    <t># Gestión de montes (0814)</t>
  </si>
  <si>
    <t># Gestión y organización del vivero forestal (0811)</t>
  </si>
  <si>
    <t># Topografía agraria (0693)</t>
  </si>
  <si>
    <t># Desarrollo de proyectos de obras lineales (0773)</t>
  </si>
  <si>
    <t># Desarrollo de proyectos urbanísticos (0772)</t>
  </si>
  <si>
    <t># Estructuras de construcción (0562)</t>
  </si>
  <si>
    <t># Levantamientos topográficos (0771)</t>
  </si>
  <si>
    <t># Mediciones y valoraciones de construcción (0564)</t>
  </si>
  <si>
    <t># Planificación de construcción (0566)</t>
  </si>
  <si>
    <t># Redes y servicios en obra civil (0770)</t>
  </si>
  <si>
    <t># Replanteos de construcción (0565)</t>
  </si>
  <si>
    <t># Representaciones de construcción (0563)</t>
  </si>
  <si>
    <t># Urbanismo y obra civil (0769)</t>
  </si>
  <si>
    <t># Conformado por moldeo abierto (0725)</t>
  </si>
  <si>
    <t># Conformado por moldeo cerrado (0724)</t>
  </si>
  <si>
    <t># Elaboración de moldes y modelos (0723)</t>
  </si>
  <si>
    <t># Preparación de máquinas e instalaciones de procesos automáticos (0722)</t>
  </si>
  <si>
    <t># Preparación de materias primas (0726)</t>
  </si>
  <si>
    <t># Acceso a datos (0486)</t>
  </si>
  <si>
    <t># Bases de Datos (0484)</t>
  </si>
  <si>
    <t># Desarrollo de interfaces (0488)</t>
  </si>
  <si>
    <t># Entornos de desarrollo (0487)</t>
  </si>
  <si>
    <t># Programación (0485)</t>
  </si>
  <si>
    <t># Programación multimedia y dispositivos móviles (0489)</t>
  </si>
  <si>
    <t># Sistemas informáticos (0483)</t>
  </si>
  <si>
    <t># Análisis de alimentos (0464)</t>
  </si>
  <si>
    <t># Control microbiológico y sensorial de los alimentos (0467)</t>
  </si>
  <si>
    <t># Organización de la producción alimentaria (0466)</t>
  </si>
  <si>
    <t># Procesos integrados en la industria alimentaria (0469)</t>
  </si>
  <si>
    <t># Tecnología alimentaria (0462)</t>
  </si>
  <si>
    <t># Tratamientos de preparación y conservación de los alimentos (0465)</t>
  </si>
  <si>
    <t># Materias primas en la industria alimentaria (0141)</t>
  </si>
  <si>
    <t># Operaciones de acondicionado de materias primas (0142)</t>
  </si>
  <si>
    <t># Procesos tecnológicos en la industria alimentaria (0145)</t>
  </si>
  <si>
    <t># Tratamientos de transformación y conservación (0143)</t>
  </si>
  <si>
    <t># Circuitos de fluidos Suspensión y dirección (0454)</t>
  </si>
  <si>
    <t># Circuitos eléctricos auxiliares del vehículo (0457)</t>
  </si>
  <si>
    <t># Sistemas auxiliares del motor (0453)</t>
  </si>
  <si>
    <t># Sistemas de seguridad y confortabilidad (0458)</t>
  </si>
  <si>
    <t># Control de materiales y procesos cerámicos (0422)</t>
  </si>
  <si>
    <t># Procesos de fabricación de fritas y pigmentos cerámicos (0418)</t>
  </si>
  <si>
    <t># Procesos de fabricación de pastas cerámicas (0417)</t>
  </si>
  <si>
    <t># Procesos de fabricación de productos cerámicos (0420)</t>
  </si>
  <si>
    <t># Procesos de preparación de esmaltes cerámicos (0419)</t>
  </si>
  <si>
    <t># Diseño digital de personajes 2D 3D (1267)</t>
  </si>
  <si>
    <t># Ensayos de materiales (1256)</t>
  </si>
  <si>
    <t># Muestreo y operaciones unitarias de laboratorio (1250)</t>
  </si>
  <si>
    <t># Operaciones de análisis químico (1255)</t>
  </si>
  <si>
    <t># Pruebas fisicoquímicas (1251)</t>
  </si>
  <si>
    <t># Química aplicada (1249)</t>
  </si>
  <si>
    <t># Seguridad y organización en el laboratorio (1253)</t>
  </si>
  <si>
    <t># Servicios auxiliares en el laboratorio (1252)</t>
  </si>
  <si>
    <t># Técnicas básicas de microbiología y bioquímica (1254)</t>
  </si>
  <si>
    <t># Mantenimiento básico de vehículos (1210)</t>
  </si>
  <si>
    <t># Captación y grabación de sonido (1299)</t>
  </si>
  <si>
    <t># Control, edición y mezcla de sonido (1300)</t>
  </si>
  <si>
    <t># Instalación y montaje de equipos de sonido (1298)</t>
  </si>
  <si>
    <t># Toma y edición digital de imagen (1304)</t>
  </si>
  <si>
    <t># Documentación de proyectos y obras de construcción (1287)</t>
  </si>
  <si>
    <t># Procesos constructivos en edificación (1288)</t>
  </si>
  <si>
    <t># Procesos constructivos en obra civil (1289)</t>
  </si>
  <si>
    <t># Elaboraciones de pastelería y repostería en cocina (0498)</t>
  </si>
  <si>
    <t># Gestión administrativa y comercial en restauración (0503)</t>
  </si>
  <si>
    <t># Gestión de la calidad y de la seguridad e higiene alimentarias (0501)</t>
  </si>
  <si>
    <t># Procesos de elaboración culinaria (0499)</t>
  </si>
  <si>
    <t># Procesos de preelaboración y conservación en cocina (0497)</t>
  </si>
  <si>
    <t># Procesos de servicios en bar-cafetería (0509)</t>
  </si>
  <si>
    <t># Procesos de servicios en restaurante (0510)</t>
  </si>
  <si>
    <t># Ajuste y patronaje de calzado y complementos (0594)</t>
  </si>
  <si>
    <t># Elaboración de prototipos (0284)</t>
  </si>
  <si>
    <t># Industrialización de patrones de calzado (0595)</t>
  </si>
  <si>
    <t># Organización de la producción en confección industrial (0280)</t>
  </si>
  <si>
    <t># Procesos de producción de calzado (0596)</t>
  </si>
  <si>
    <t># Desarrollo de proyectos de edificación residencial (0570)</t>
  </si>
  <si>
    <t># Diseño y construcción de edificios (0567)</t>
  </si>
  <si>
    <t># Eficiencia energética en edificación (0569)</t>
  </si>
  <si>
    <t># Instalaciones en edificación (0568)</t>
  </si>
  <si>
    <t># Citología general (1382)</t>
  </si>
  <si>
    <t># Citología ginecológica (1381)</t>
  </si>
  <si>
    <t># Gestión de muestras biológicas (1367)</t>
  </si>
  <si>
    <t># Necropsias (1379)</t>
  </si>
  <si>
    <t># Procesamiento citológico y tisular (1380)</t>
  </si>
  <si>
    <t># Técnicas generales de laboratorio (1368)</t>
  </si>
  <si>
    <t># Archivo y documentación sanitarios (1518)</t>
  </si>
  <si>
    <t># Codificación sanitaria (1520)</t>
  </si>
  <si>
    <t># Extracción de diagnósticos y procedimientos (1517)</t>
  </si>
  <si>
    <t># Sistemas de información y clasificación sanitarios (1519)</t>
  </si>
  <si>
    <t># Validación y explotación de datos (1522)</t>
  </si>
  <si>
    <t># Conservadora, periodoncia, cirugía e implantes (0736)</t>
  </si>
  <si>
    <t># Educación para la salud oral (0735)</t>
  </si>
  <si>
    <t># Epidemiología en salud oral (0734)</t>
  </si>
  <si>
    <t># Estudio de la cavidad oral (0731)</t>
  </si>
  <si>
    <t># Exploración de la cavidad oral (0732)</t>
  </si>
  <si>
    <t># Intervención bucodental (0733)</t>
  </si>
  <si>
    <t># Prótesis y ortodoncia (0737)</t>
  </si>
  <si>
    <t># Recepción y logística en la clínica dental (0730)</t>
  </si>
  <si>
    <t># Anatomía por la imagen (1347)</t>
  </si>
  <si>
    <t># Protección radiológica (1348)</t>
  </si>
  <si>
    <t># Técnicas de imagen en medicina nuclear (1353)</t>
  </si>
  <si>
    <t># Técnicas de imagen por resonancia magnética (1352)</t>
  </si>
  <si>
    <t># Técnicas de radiofarmacia (1354)</t>
  </si>
  <si>
    <t># Técnicas de radiología especial (1350)</t>
  </si>
  <si>
    <t># Técnicas de radiología simple (1349)</t>
  </si>
  <si>
    <t># Técnicas de tomografía computarizada y ecografía (1351)</t>
  </si>
  <si>
    <t># Análisis bioquímico (1371)</t>
  </si>
  <si>
    <t># Microbiología clínica (1373)</t>
  </si>
  <si>
    <t># Técnicas de análisis hematológico (1374)</t>
  </si>
  <si>
    <t># Dosimetría física y clínica (1360)</t>
  </si>
  <si>
    <t># Simulación del tratamiento (1359)</t>
  </si>
  <si>
    <t># Tratamientos con braquiterapia (1362)</t>
  </si>
  <si>
    <t># Tratamientos con teleterapia (1361)</t>
  </si>
  <si>
    <t># Ámbitos de aplicación de la lengua de signos (1116)</t>
  </si>
  <si>
    <t># Contexto de la mediación comunicativa con personas sordociegas (1114)</t>
  </si>
  <si>
    <t># Intervención socioeducativa con personas sordociegas (1113)</t>
  </si>
  <si>
    <t># Lengua de signos (1115)</t>
  </si>
  <si>
    <t># Técnicas de intervención comunicativa (1118)</t>
  </si>
  <si>
    <t># Áreas y servicios auxiliares en la industria farmacéutica, biotecnológica y afines (1392)</t>
  </si>
  <si>
    <t># Control de calidad de productos farmacéuticos, biotecnológicos y afines (1388)</t>
  </si>
  <si>
    <t># Operaciones básicas en la industria farmacéutica, biotecnológica y afines (1389)</t>
  </si>
  <si>
    <t># Organización y gestión de la fabricación de productos farmacéuticos, biotecnológicos y afines (1387)</t>
  </si>
  <si>
    <t># Seguridad en la industria farmacéutica, biotecnológica y afines (1391)</t>
  </si>
  <si>
    <t># Técnicas de producción farmacéutica y afines (1394)</t>
  </si>
  <si>
    <t># Instalaciones eléctricas (1585)</t>
  </si>
  <si>
    <t># Sistemas electromecánicos y de fluidos (1586)</t>
  </si>
  <si>
    <t># Sistemas electrónicos y fotónicos (1587)</t>
  </si>
  <si>
    <t># Instalación de carpintería (0780)</t>
  </si>
  <si>
    <t># Instalación de estructuras de madera (0781)</t>
  </si>
  <si>
    <t># Instalación de mobiliario (0779)</t>
  </si>
  <si>
    <t># Planificación de la instalación (0778)</t>
  </si>
  <si>
    <t># Aparatología estética (0744)</t>
  </si>
  <si>
    <t># Cosmética aplicada a estética y bienestar (0752)</t>
  </si>
  <si>
    <t># Depilación avanzada (0746)</t>
  </si>
  <si>
    <t># Dermoestética (0751)</t>
  </si>
  <si>
    <t># Drenaje estético y técnicas por presión (0748)</t>
  </si>
  <si>
    <t># Estética hidrotermal (0745)</t>
  </si>
  <si>
    <t># Masaje estético (0747)</t>
  </si>
  <si>
    <t># Micropigmentación (0749)</t>
  </si>
  <si>
    <t># Moldeo abierto (0532)</t>
  </si>
  <si>
    <t># Moldeo cerrado (0531)</t>
  </si>
  <si>
    <t># Verificación de productos conformados (0533)</t>
  </si>
  <si>
    <t># Configuración de infraestructuras de sistemas de telecomunicaciones (0525)</t>
  </si>
  <si>
    <t># Gestión de proyectos de instalaciones de telecomunicaciones (0601)</t>
  </si>
  <si>
    <t># Redes telemáticas (0555)</t>
  </si>
  <si>
    <t># Sistemas de producción audiovisual (0554)</t>
  </si>
  <si>
    <t># Sistemas de telefonía fija y móvil (0713)</t>
  </si>
  <si>
    <t># Sistemas informáticos y redes locales (0552)</t>
  </si>
  <si>
    <t># Técnicas y procesos en infraestructuras de telecomunicaciones (0553)</t>
  </si>
  <si>
    <t># Adaptación de ortesis prefabricadas (0327)</t>
  </si>
  <si>
    <t># Adaptación de productos de apoyo (0330)</t>
  </si>
  <si>
    <t># Biomecánica y patología aplicada (0331)</t>
  </si>
  <si>
    <t># Diseño y moldeado anatómico (0326)</t>
  </si>
  <si>
    <t># Elaboración y adaptación de productos ortésicos a medida (0328)</t>
  </si>
  <si>
    <t># Elaboración y adaptación de prótesis externas (0329)</t>
  </si>
  <si>
    <t># Tecnología industrial aplicada a la actividad ortoprotésica (0325)</t>
  </si>
  <si>
    <t># Industrialización y escalado de patrones (0286)</t>
  </si>
  <si>
    <t># Patronaje industrial en textil y piel (0285)</t>
  </si>
  <si>
    <t># Procesos en confección industrial (0278)</t>
  </si>
  <si>
    <t># Acabados en confección (0270)</t>
  </si>
  <si>
    <t># Información y atención al cliente (0271)</t>
  </si>
  <si>
    <t>Alumnado_0107</t>
  </si>
  <si>
    <t>Alumnado_0108</t>
  </si>
  <si>
    <t>Alumnado_0109</t>
  </si>
  <si>
    <t>Alumnado_0110</t>
  </si>
  <si>
    <t>Alumnado_0111</t>
  </si>
  <si>
    <t>Alumnado_0112</t>
  </si>
  <si>
    <t>Alumnado_0113</t>
  </si>
  <si>
    <t>Alumnado_0114</t>
  </si>
  <si>
    <t>Alumnado_0115</t>
  </si>
  <si>
    <t>Alumnado_0116</t>
  </si>
  <si>
    <t>Alumnado_0117</t>
  </si>
  <si>
    <t>Alumnado_0118</t>
  </si>
  <si>
    <t>Alumnado_0119</t>
  </si>
  <si>
    <t>****6194L</t>
  </si>
  <si>
    <t>****9904S</t>
  </si>
  <si>
    <t>****5550S</t>
  </si>
  <si>
    <t>****9499Y</t>
  </si>
  <si>
    <t>****7123K</t>
  </si>
  <si>
    <t>****9016W</t>
  </si>
  <si>
    <t>****4936T</t>
  </si>
  <si>
    <t>****8899P</t>
  </si>
  <si>
    <t>****6236E</t>
  </si>
  <si>
    <t>****9064A</t>
  </si>
  <si>
    <t>****7824I</t>
  </si>
  <si>
    <t>****2007C</t>
  </si>
  <si>
    <t>Técnico Superior en Administración y Finanzas (RD_1659/1994)</t>
  </si>
  <si>
    <t>Técnico superior en Administración y Finanzas (RD_1584/2011)</t>
  </si>
  <si>
    <t>Alumnado_0120</t>
  </si>
  <si>
    <t>Alumnado_0121</t>
  </si>
  <si>
    <t>Alumnado_0122</t>
  </si>
  <si>
    <t>Alumnado_0123</t>
  </si>
  <si>
    <t>Alumnado_0124</t>
  </si>
  <si>
    <t>Alumnado_0125</t>
  </si>
  <si>
    <t>Alumnado_0126</t>
  </si>
  <si>
    <t>Alumnado_0127</t>
  </si>
  <si>
    <t>Alumnado_0128</t>
  </si>
  <si>
    <t>Alumnado_0129</t>
  </si>
  <si>
    <t>Alumnado_0130</t>
  </si>
  <si>
    <t>Alumnado_0131</t>
  </si>
  <si>
    <t>Alumnado_0132</t>
  </si>
  <si>
    <t>Alumnado_0133</t>
  </si>
  <si>
    <t>Alumnado_0134</t>
  </si>
  <si>
    <t>Alumnado_0135</t>
  </si>
  <si>
    <t>Alumnado_0136</t>
  </si>
  <si>
    <t>Alumnado_0137</t>
  </si>
  <si>
    <t>Alumnado_0138</t>
  </si>
  <si>
    <t>Alumnado_0139</t>
  </si>
  <si>
    <t>Alumnado_0140</t>
  </si>
  <si>
    <t>Alumnado_0141</t>
  </si>
  <si>
    <t>Alumnado_0142</t>
  </si>
  <si>
    <t>Alumnado_0143</t>
  </si>
  <si>
    <t>Alumnado_0144</t>
  </si>
  <si>
    <t>Alumnado_0145</t>
  </si>
  <si>
    <t>Alumnado_0146</t>
  </si>
  <si>
    <t>Alumnado_0147</t>
  </si>
  <si>
    <t>Alumnado_0148</t>
  </si>
  <si>
    <t>Alumnado_0149</t>
  </si>
  <si>
    <t>Alumnado_0150</t>
  </si>
  <si>
    <t>Alumnado_0151</t>
  </si>
  <si>
    <t>Alumnado_0152</t>
  </si>
  <si>
    <t>Alumnado_0153</t>
  </si>
  <si>
    <t>Alumnado_0154</t>
  </si>
  <si>
    <t>Alumnado_0155</t>
  </si>
  <si>
    <t>Alumnado_0156</t>
  </si>
  <si>
    <t>(0001) 1º de C.F.G.M. (Aceites de Oliva y Vinos) (Pres.)</t>
  </si>
  <si>
    <t>(0002) 1º de C.F.G.M. (Actividades Comerciales) (Pres.)</t>
  </si>
  <si>
    <t>(0003) 1º de C.F.G.M. (Actividades Ecuestres) (Pres.)</t>
  </si>
  <si>
    <t>(0004) 1º de C.F.G.M. (Aprovechamiento y Conservación del Medio Natural) (Pres.)</t>
  </si>
  <si>
    <t>(0005) 1º de C.F.G.M. (Atención a Personas en Situación de Dependencia) (Pres.)</t>
  </si>
  <si>
    <t>(0006) 1º de C.F.G.M. (Calzado y Complementos de Moda) (Pres.)</t>
  </si>
  <si>
    <t>(0007) 1º de C.F.G.M. (Carpintería y Mueble) (Pres.)</t>
  </si>
  <si>
    <t>(0008) 1º de C.F.G.M. (Carrocería) (Pres.)</t>
  </si>
  <si>
    <t>(0009) 1º de C.F.G.M. (Cocina y Gastronomía) (Pres.)</t>
  </si>
  <si>
    <t>(0010) 1º de C.F.G.M. (Comercialización de Productos Alimentarios) (Pres.)</t>
  </si>
  <si>
    <t>(0011) 1º de C.F.G.M. (Conducción de Vehículos de Transporte por Carretera) (Pres.)</t>
  </si>
  <si>
    <t>(0012) 1º de C.F.G.M. (Confección y Moda) (Pres.)</t>
  </si>
  <si>
    <t>(0013) 1º de C.F.G.M. (Conformado por Moldeo de Metales y Polímeros) (Pres.)</t>
  </si>
  <si>
    <t>(0014) 1º de C.F.G.M. (Construcción) (Pres.)</t>
  </si>
  <si>
    <t>(0015) 1º de C.F.G.M. (Cuidados Auxiliares de Enfermería) (Pres.)</t>
  </si>
  <si>
    <t>(0016) 1º de C.F.G.M. (Cultivos Acuícolas) (Pres.)</t>
  </si>
  <si>
    <t>(0017) 1º de C.F.G.M. (Elaboración de productos alimenticios) (Pres.)</t>
  </si>
  <si>
    <t>(0018) 1º de C.F.G.M. (Electromecánica de Maquinaria) (Pres.)</t>
  </si>
  <si>
    <t>(0019) 1º de C.F.G.M. (Electromecánica de Vehículos Automóviles) (Pres.)</t>
  </si>
  <si>
    <t>(0020) 1º de C.F.G.M. (Emergencias Sanitarias) (Pres.)</t>
  </si>
  <si>
    <t>(0021) 1º de C.F.G.M. (Emergencias y Protección Civil) (Pres.)</t>
  </si>
  <si>
    <t>(0022) 1º de C.F.G.M. (Estética y Belleza) (Pres.)</t>
  </si>
  <si>
    <t>(0023) 1º de C.F.G.M. (Excavaciones y Sondeos) (Pres.)</t>
  </si>
  <si>
    <t>(0024) 1º de C.F.G.M. (Fabricación de Productos Cerámicos) (Pres.)</t>
  </si>
  <si>
    <t>(0025) 1º de C.F.G.M. (Fabricación y Ennoblecimiento de Productos Textiles) (Pres.)</t>
  </si>
  <si>
    <t>(0026) 1º de C.F.G.M. (Farmacia y Parafarmacia) (Pres.)</t>
  </si>
  <si>
    <t>(0027) 1º de C.F.G.M. (Gestión Administrativa) (Pres.)</t>
  </si>
  <si>
    <t>(0028) 1º de C.F.G.M. (Guía en el medio natural y de tiempo libre) (Pres.)</t>
  </si>
  <si>
    <t>(0029) 1º de C.F.G.M. (Impresión Gráfica) (Pres.)</t>
  </si>
  <si>
    <t>(0030) 1º de C.F.G.M. (Instalación y Amueblamiento) (Pres.)</t>
  </si>
  <si>
    <t>(0031) 1º de C.F.G.M. (Instalaciones de Producción de Calor) (Pres.)</t>
  </si>
  <si>
    <t>(0032) 1º de C.F.G.M. (Instalaciones de Telecomunicaciones) (Pres.)</t>
  </si>
  <si>
    <t>(0033) 1º de C.F.G.M. (Instalaciones Eléctricas y Automáticas) (Pres.)</t>
  </si>
  <si>
    <t>(0034) 1º de C.F.G.M. (Instalaciones Frigoríficas y de Climatización) (Pres.)</t>
  </si>
  <si>
    <t>(0035) 1º de C.F.G.M. (Jardinería y Floristería) (Pres.)</t>
  </si>
  <si>
    <t>(0036) 1º de C.F.G.M. (Joyería) (Pres.)</t>
  </si>
  <si>
    <t>(0037) 1º de C.F.G.M. (Mantenimiento de embarcaciones de recreo) (Pres.)</t>
  </si>
  <si>
    <t>(0038) 1º de C.F.G.M. (Mantenimiento de estructuras de madera y mobiliario de embarcaciones de recreo) (Pres.)</t>
  </si>
  <si>
    <t>(0039) 1º de C.F.G.M. (Mantenimiento de Material Rodante Ferroviario) (Pres.)</t>
  </si>
  <si>
    <t>(0040) 1º de C.F.G.M. (Mantenimiento Electromecánico) (Pres.)</t>
  </si>
  <si>
    <t>(0041) 1º de C.F.G.M. (Mantenimiento y Control de la Maquinaria de Buques y Embarcaciones) (Pres.)</t>
  </si>
  <si>
    <t>(0042) 1º de C.F.G.M. (Mecanizado) (Pres.)</t>
  </si>
  <si>
    <t>(0043) 1º de C.F.G.M. (Montaje de estructuras e instalación de sistemas aeronáuticos) (Pres.)</t>
  </si>
  <si>
    <t>(0044) 1º de C.F.G.M. (Navegación y Pesca de Litoral) (Pres.)</t>
  </si>
  <si>
    <t>(0045) 1º de C.F.G.M. (Obras de Interior, Decoración y Rehabilitación) (Pres.)</t>
  </si>
  <si>
    <t>(0046) 1º de C.F.G.M. (Operaciones de Laboratorio) (Pres.)</t>
  </si>
  <si>
    <t>(0047) 1º de C.F.G.M. (Operaciones Subacuáticas e Hiperbáricas) (Pres.)</t>
  </si>
  <si>
    <t>(0048) 1º de C.F.G.M. (Panadería, Repostería y Confitería) (Pres.)</t>
  </si>
  <si>
    <t>(0049) 1º de C.F.G.M. (Peluquería y Cosmética Capilar) (Pres.)</t>
  </si>
  <si>
    <t>(0050) 1º de C.F.G.M. (Piedra Natural) (Pres.)</t>
  </si>
  <si>
    <t>(0051) 1º de C.F.G.M. (Planta Química) (Pres.)</t>
  </si>
  <si>
    <t>(0052) 1º de C.F.G.M. (Postimpresión y Acabados Gráficos) (Pres.)</t>
  </si>
  <si>
    <t>(0053) 1º de C.F.G.M. (Preimpresión Digital) (Pres.)</t>
  </si>
  <si>
    <t>(0054) 1º de C.F.G.M. (Procesado y transformación de la madera) (Pres.)</t>
  </si>
  <si>
    <t>(0055) 1º de C.F.G.M. (Producción Agroecológica) (Pres.)</t>
  </si>
  <si>
    <t>(0056) 1º de C.F.G.M. (Producción Agropecuaria) (Pres.)</t>
  </si>
  <si>
    <t>(0057) 1º de C.F.G.M. (Redes y Estaciones de Tratamiento de Aguas) (Pres.)</t>
  </si>
  <si>
    <t>(0058) 1º de C.F.G.M. (Seguridad) (Pres.)</t>
  </si>
  <si>
    <t>(0059) 1º de C.F.G.M. (Servicios en Restauración) (Pres.)</t>
  </si>
  <si>
    <t>(0060) 1º de C.F.G.M. (Sistemas Microinformáticos y Redes) (Pres.)</t>
  </si>
  <si>
    <t>(0061) 1º de C.F.G.M. (Soldadura y Calderería) (Pres.)</t>
  </si>
  <si>
    <t>(0062) 1º de C.F.G.M. (Video Disc-jockey y Sonido) (Pres.)</t>
  </si>
  <si>
    <t>(0063) 1º de C.F.G.M. (Vídeo Disc-jockey y Sonido) (Pres.)</t>
  </si>
  <si>
    <t>(0064) 1º de C.F.G.S. (Acondicionamiento Físico) (Pres.)</t>
  </si>
  <si>
    <t>(0065) 1º de C.F.G.S. (Acuicultura) (Pres.)</t>
  </si>
  <si>
    <t>(0066) 1º de C.F.G.S. (Administración de Sistemas Informáticos en Red) (Pres.)</t>
  </si>
  <si>
    <t>(0067) 1º de C.F.G.S. (Administración y Finanzas) (Pres.)</t>
  </si>
  <si>
    <t>(0068) 1º de C.F.G.S. (Agencias de Viajes y Gestión de Eventos) (Pres.)</t>
  </si>
  <si>
    <t>(0069) 1º de C.F.G.S. (Anatomía Patológica y Citodiagnóstico) (Pres.)</t>
  </si>
  <si>
    <t>(0070) 1º de C.F.G.S. (Animación Sociocultural y Turística) (Pres.)</t>
  </si>
  <si>
    <t>(0071) 1º de C.F.G.S. (Animaciones 3D, Juegos y Entornos Interactivos) (Pres.)</t>
  </si>
  <si>
    <t>(0072) 1º de C.F.G.S. (Asesoría de Imagen Personal y Corporativa) (Pres.)</t>
  </si>
  <si>
    <t>(0073) 1º de C.F.G.S. (Asistencia a la Dirección) (Pres.)</t>
  </si>
  <si>
    <t>(0074) 1º de C.F.G.S. (Audiología Protésica) (Pres.)</t>
  </si>
  <si>
    <t>(0075) 1º de C.F.G.S. (Automatización y Robótica Industrial) (Pres.)</t>
  </si>
  <si>
    <t>(0076) 1º de C.F.G.S. (Automoción) (Pres.)</t>
  </si>
  <si>
    <t>(0077) 1º de C.F.G.S. (Caracterización y Maquillaje Profesional) (Pres.)</t>
  </si>
  <si>
    <t>(0078) 1º de C.F.G.S. (Centrales Eléctricas) (Pres.)</t>
  </si>
  <si>
    <t>(0079) 1º de C.F.G.S. (Comercio Internacional) (Pres.)</t>
  </si>
  <si>
    <t>(0080) 1º de C.F.G.S. (Construcciones Metálicas) (Pres.)</t>
  </si>
  <si>
    <t>(0081) 1º de C.F.G.S. (Coordinación de Emergencias y Protección Civil) (Pres.)</t>
  </si>
  <si>
    <t>(0082) 1º de C.F.G.S. (Desarrollo de Aplicaciones Multiplataforma) (Pres.)</t>
  </si>
  <si>
    <t>(0083) 1º de C.F.G.S. (Desarrollo de Aplicaciones Web) (Pres.)</t>
  </si>
  <si>
    <t>(0084) 1º de C.F.G.S. (Desarrollo de Proyectos de Instalaciones Térmicas y de Fluidos) (Pres.)</t>
  </si>
  <si>
    <t>(0085) 1º de C.F.G.S. (Desarrollo y Fabricación de Productos Cerámicos) (Pres.)</t>
  </si>
  <si>
    <t>(0086) 1º de C.F.G.S. (Dietética) (Pres.)</t>
  </si>
  <si>
    <t>(0087) 1º de C.F.G.S. (Dirección de Cocina) (Pres.)</t>
  </si>
  <si>
    <t>(0088) 1º de C.F.G.S. (Dirección de Servicios de Restauración) (Pres.)</t>
  </si>
  <si>
    <t>(0089) 1º de C.F.G.S. (Diseño en Fabricación Mecánica) (Pres.)</t>
  </si>
  <si>
    <t>(0090) 1º de C.F.G.S. (Diseño Textil y Piel) (Pres.)</t>
  </si>
  <si>
    <t>(0091) 1º de C.F.G.S. (Diseño y Amueblamiento) (Pres.)</t>
  </si>
  <si>
    <t>(0092) 1º de C.F.G.S. (Diseño y Edición de Publicaciones Impresas y Multimedia) (Pres.)</t>
  </si>
  <si>
    <t>(0093) 1º de C.F.G.S. (Diseño y Gestión de la Producción Gráfica) (Pres.)</t>
  </si>
  <si>
    <t>(0094) 1º de C.F.G.S. (Diseño y Producción de Calzado y Complementos) (Pres.)</t>
  </si>
  <si>
    <t>(0095) 1º de C.F.G.S. (Documentación y Administración Sanitarias) (Pres.)</t>
  </si>
  <si>
    <t>(0096) 1º de C.F.G.S. (Educación infantil) (Pres.)</t>
  </si>
  <si>
    <t>(0097) 1º de C.F.G.S. (Educación y Control Ambiental) (Pres.)</t>
  </si>
  <si>
    <t>(0098) 1º de C.F.G.S. (Eficiencia Energética y Energía Solar Térmica) (Pres.)</t>
  </si>
  <si>
    <t>(0099) 1º de C.F.G.S. (Electromedicina Clínica) (Pres.)</t>
  </si>
  <si>
    <t>(0100) 1º de C.F.G.S. (Energías Renovables) (Pres.)</t>
  </si>
  <si>
    <t>(0101) 1º de C.F.G.S. (Enseñanza y Animación Sociodeportiva) (Pres.)</t>
  </si>
  <si>
    <t>(0102) 1º de C.F.G.S. (Estética Integral y Bienestar) (Pres.)</t>
  </si>
  <si>
    <t>(0103) 1º de C.F.G.S. (Estilismo y Dirección de Peluquería) (Pres.)</t>
  </si>
  <si>
    <t>(0104) 1º de C.F.G.S. (Fabr. de prod. farmacéuticos, biotecnológicos y afines) (Pres.)</t>
  </si>
  <si>
    <t>(0105) 1º de C.F.G.S. (Fabricación de productos farmacéuticos, biotecnológicos y afines) (Pres.)</t>
  </si>
  <si>
    <t>(0106) 1º de C.F.G.S. (Formación para la movilidad segura y sostenible) (Pres.)</t>
  </si>
  <si>
    <t>(0107) 1º de C.F.G.S. (Ganadería y Asistencia en Sanidad Animal) (Pres.)</t>
  </si>
  <si>
    <t>(0108) 1º de C.F.G.S. (Gestión de Alojamientos Turísticos) (Pres.)</t>
  </si>
  <si>
    <t>(0109) 1º de C.F.G.S. (Gestión de Ventas y Espacios Comerciales) (Pres.)</t>
  </si>
  <si>
    <t>(0110) 1º de C.F.G.S. (Gestión del Agua) (Pres.)</t>
  </si>
  <si>
    <t>(0111) 1º de C.F.G.S. (Gestión Forestal y del Medio Natural) (Pres.)</t>
  </si>
  <si>
    <t>(0112) 1º de C.F.G.S. (Guía, Información y Asistencias Turísticas) (Pres.)</t>
  </si>
  <si>
    <t>(0113) 1º de C.F.G.S. (Higiene Bucodental) (Pres.)</t>
  </si>
  <si>
    <t>(0114) 1º de C.F.G.S. (Iluminación, Captación y Tratamiento de Imagen) (Pres.)</t>
  </si>
  <si>
    <t>(0115) 1º de C.F.G.S. (Imagen para el Diagnóstico y Medicina Nuclear) (Pres.)</t>
  </si>
  <si>
    <t>(0116) 1º de C.F.G.S. (Integración Social) (Pres.)</t>
  </si>
  <si>
    <t>(0117) 1º de C.F.G.S. (Laboratorio Clínico y Biomédico) (Pres.)</t>
  </si>
  <si>
    <t>(0118) 1º de C.F.G.S. (Laboratorio de Análisis y de Control de Calidad) (Pres.)</t>
  </si>
  <si>
    <t>(0119) 1º de C.F.G.S. (Mantenimiento aeromecánico de aviones con motor de pistón) (Pres.)</t>
  </si>
  <si>
    <t>(0120) 1º de C.F.G.S. (Mantenimiento aeromecánico de aviones con motor de turbina) (Pres.)</t>
  </si>
  <si>
    <t>(0121) 1º de C.F.G.S. (Mantenimiento aeromecánico de helicópteros con motor de pistón) (Pres.)</t>
  </si>
  <si>
    <t>(0122) 1º de C.F.G.S. (Mantenimiento aeromecánico de helicópteros con motor de turbina) (Pres.)</t>
  </si>
  <si>
    <t>(0123) 1º de C.F.G.S. (Mantenimiento de Instalaciones Térmicas y de Fluidos) (Pres.)</t>
  </si>
  <si>
    <t>(0124) 1º de C.F.G.S. (Mantenimiento de sistemas electrónicos y aviónicos en aeronaves) (Pres.)</t>
  </si>
  <si>
    <t>(0125) 1º de C.F.G.S. (Mantenimiento Electrónico) (Pres.)</t>
  </si>
  <si>
    <t>(0126) 1º de C.F.G.S. (Marketing y Publicidad) (Pres.)</t>
  </si>
  <si>
    <t>(0127) 1º de C.F.G.S. (Mecatrónica Industrial) (Pres.)</t>
  </si>
  <si>
    <t>(0128) 1º de C.F.G.S. (Mediación Comunicativa) (Pres.)</t>
  </si>
  <si>
    <t>(0129) 1º de C.F.G.S. (Óptica de Anteojería) (Pres.)</t>
  </si>
  <si>
    <t>(0130) 1º de C.F.G.S. (Organización del Mantenimiento de Maquinaria de Buques y Embarcaciones) (Pres.)</t>
  </si>
  <si>
    <t>(0131) 1º de C.F.G.S. (Organización y Control de Obras de Construcción) (Pres.)</t>
  </si>
  <si>
    <t>(0132) 1º de C.F.G.S. (Ortoprótesis y Productos de Apoyo) (Pres.)</t>
  </si>
  <si>
    <t>(0133) 1º de C.F.G.S. (Paisajismo y Medio Rural) (Pres.)</t>
  </si>
  <si>
    <t>(0134) 1º de C.F.G.S. (Patronaje y Moda) (Pres.)</t>
  </si>
  <si>
    <t>(0135) 1º de C.F.G.S. (Prevención de Riesgos Profesionales) (Pres.)</t>
  </si>
  <si>
    <t>(0136) 1º de C.F.G.S. (Procesos y Calidad en la Industria Alimentaria) (Pres.)</t>
  </si>
  <si>
    <t>(0137) 1º de C.F.G.S. (Producción de audiovisuales y espectáculos) (Pres.)</t>
  </si>
  <si>
    <t>(0138) 1º de C.F.G.S. (Programación de la Producción en Fabricación Mecánica) (Pres.)</t>
  </si>
  <si>
    <t>(0139) 1º de C.F.G.S. (Programación de la Producción en Moldeo de Metales y Polímeros) (Pres.)</t>
  </si>
  <si>
    <t>(0140) 1º de C.F.G.S. (Promoción de Igualdad de Género) (Pres.)</t>
  </si>
  <si>
    <t>(0141) 1º de C.F.G.S. (Prótesis Dentales) (Pres.)</t>
  </si>
  <si>
    <t>(0142) 1º de C.F.G.S. (Proyectos de Edificación) (Pres.)</t>
  </si>
  <si>
    <t>(0143) 1º de C.F.G.S. (Proyectos de Obra Civil) (Pres.)</t>
  </si>
  <si>
    <t>(0144) 1º de C.F.G.S. (Química Industrial) (Pres.)</t>
  </si>
  <si>
    <t>(0145) 1º de C.F.G.S. (Química y Salud Ambiental) (Pres.)</t>
  </si>
  <si>
    <t>(0146) 1º de C.F.G.S. (Radioterapia y Dosimetría) (Pres.)</t>
  </si>
  <si>
    <t>(0147) 1º de C.F.G.S. (Realización de proyectos audiovisuales y espectáculos) (Pres.)</t>
  </si>
  <si>
    <t>(0148) 1º de C.F.G.S. (Sistemas de Telecomunicaciones e Informáticos) (Pres.)</t>
  </si>
  <si>
    <t>(0149) 1º de C.F.G.S. (Sistemas Electrotécnicos y Automatizados) (Pres.)</t>
  </si>
  <si>
    <t>(0150) 1º de C.F.G.S. (Sonido para audiovisuales y espectáculos) (Pres.)</t>
  </si>
  <si>
    <t>(0151) 1º de C.F.G.S. (Técnico Superior Artista Fallero y Construcción de Escenografías) (Pres.)</t>
  </si>
  <si>
    <t>(0152) 1º de C.F.G.S. (Termalismo y bienestar) (Pres.)</t>
  </si>
  <si>
    <t>(0153) 1º de C.F.G.S. (Transporte Marítimo y Pesca de Altura) (Pres.)</t>
  </si>
  <si>
    <t>(0154) 1º de C.F.G.S. (Transporte y Logística) (Pres.)</t>
  </si>
  <si>
    <t>(0155) 1º de C.F.G.S. (Vestuario a medida y de espectáculos) (Pres.)</t>
  </si>
  <si>
    <t>(0156) 1º de C.F.G.S. (Vitivinicultura) (Pres.)</t>
  </si>
  <si>
    <t>RD_</t>
  </si>
  <si>
    <t>RD_M_</t>
  </si>
  <si>
    <t>CIF CENTRO</t>
  </si>
  <si>
    <t>****9697A</t>
  </si>
  <si>
    <t>****6557B</t>
  </si>
  <si>
    <t>****1132N</t>
  </si>
  <si>
    <t>****7736E</t>
  </si>
  <si>
    <t>****6140X</t>
  </si>
  <si>
    <t>****8160I</t>
  </si>
  <si>
    <t>****8107C</t>
  </si>
  <si>
    <t>****8486A</t>
  </si>
  <si>
    <t>****5762B</t>
  </si>
  <si>
    <t>****8411H</t>
  </si>
  <si>
    <t>****7771J</t>
  </si>
  <si>
    <t>****3174F</t>
  </si>
  <si>
    <t>****4859I</t>
  </si>
  <si>
    <t>****8725S</t>
  </si>
  <si>
    <t>****8337S</t>
  </si>
  <si>
    <t>****2589D</t>
  </si>
  <si>
    <t>****1725P</t>
  </si>
  <si>
    <t>****1169I</t>
  </si>
  <si>
    <t>****8299L</t>
  </si>
  <si>
    <t>****9466U</t>
  </si>
  <si>
    <t>****1070H</t>
  </si>
  <si>
    <t>****1886J</t>
  </si>
  <si>
    <t>****2704G</t>
  </si>
  <si>
    <t>****8241G</t>
  </si>
  <si>
    <t>****4243H</t>
  </si>
  <si>
    <t>****6812S</t>
  </si>
  <si>
    <t>****7562X</t>
  </si>
  <si>
    <t>****7009U</t>
  </si>
  <si>
    <t>****4937H</t>
  </si>
  <si>
    <t>****1142H</t>
  </si>
  <si>
    <t>****4732Q</t>
  </si>
  <si>
    <t>****4510Q</t>
  </si>
  <si>
    <t>****9435Q</t>
  </si>
  <si>
    <t>****9115E</t>
  </si>
  <si>
    <t>****1067Q</t>
  </si>
  <si>
    <t>****6785H</t>
  </si>
  <si>
    <t>****7887F</t>
  </si>
  <si>
    <t>****4706F</t>
  </si>
  <si>
    <t>****2070G</t>
  </si>
  <si>
    <t>****5242G</t>
  </si>
  <si>
    <t>****7452H</t>
  </si>
  <si>
    <t>****6156E</t>
  </si>
  <si>
    <t>****6420A</t>
  </si>
  <si>
    <t>****3102R</t>
  </si>
  <si>
    <t>****9205A</t>
  </si>
  <si>
    <t>****6013L</t>
  </si>
  <si>
    <t>****7152M</t>
  </si>
  <si>
    <t>****3920T</t>
  </si>
  <si>
    <t>****9794Y</t>
  </si>
  <si>
    <t>****9211Q</t>
  </si>
  <si>
    <t>****8455V</t>
  </si>
  <si>
    <t>****5106Y</t>
  </si>
  <si>
    <t>****5821H</t>
  </si>
  <si>
    <t>****3493P</t>
  </si>
  <si>
    <t>****8308R</t>
  </si>
  <si>
    <t>****6413W</t>
  </si>
  <si>
    <t>****2514T</t>
  </si>
  <si>
    <t>****6599T</t>
  </si>
  <si>
    <t>****6489Z</t>
  </si>
  <si>
    <t>****3344N</t>
  </si>
  <si>
    <t>****9640O</t>
  </si>
  <si>
    <t>****9775Y</t>
  </si>
  <si>
    <t>****1515T</t>
  </si>
  <si>
    <t>****2504Y</t>
  </si>
  <si>
    <t>****3352A</t>
  </si>
  <si>
    <t>****3154S</t>
  </si>
  <si>
    <t>****6760K</t>
  </si>
  <si>
    <t>****6349W</t>
  </si>
  <si>
    <t>****8242C</t>
  </si>
  <si>
    <t>****5844O</t>
  </si>
  <si>
    <t>****1789T</t>
  </si>
  <si>
    <t>****3479B</t>
  </si>
  <si>
    <t>****9128Y</t>
  </si>
  <si>
    <t>****9404I</t>
  </si>
  <si>
    <t>****7739N</t>
  </si>
  <si>
    <t>****4249Z</t>
  </si>
  <si>
    <t>****4582D</t>
  </si>
  <si>
    <t>****6336Q</t>
  </si>
  <si>
    <t>****2098Z</t>
  </si>
  <si>
    <t>****3192W</t>
  </si>
  <si>
    <t>****7779A</t>
  </si>
  <si>
    <t>****5280B</t>
  </si>
  <si>
    <t>****6898Z</t>
  </si>
  <si>
    <t>****7459K</t>
  </si>
  <si>
    <t>****5676J</t>
  </si>
  <si>
    <t>****9931H</t>
  </si>
  <si>
    <t>****9457I</t>
  </si>
  <si>
    <t>****6120I</t>
  </si>
  <si>
    <t>****9036C</t>
  </si>
  <si>
    <t>****2337X</t>
  </si>
  <si>
    <t>****1349N</t>
  </si>
  <si>
    <t>****1933R</t>
  </si>
  <si>
    <t>****6261C</t>
  </si>
  <si>
    <t>****4042J</t>
  </si>
  <si>
    <t>****8315F</t>
  </si>
  <si>
    <t>****8306Z</t>
  </si>
  <si>
    <t>****2813N</t>
  </si>
  <si>
    <t>****5878R</t>
  </si>
  <si>
    <t>TÍTULO - MÓDULO/S APORTADO/S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</si>
</sst>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C0A]d\ &quot;de&quot;\ mmmm\ &quot;de&quot;\ yyyy;@"/>
    <numFmt numFmtId="165" formatCode="0000"/>
  </numFmts>
  <fonts count="1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2"/>
      <name val="Calibri"/>
      <family val="2"/>
      <scheme val="minor"/>
    </font>
    <font>
      <sz val="12"/>
      <name val="Calibri"/>
      <family val="2"/>
      <scheme val="minor"/>
    </font>
    <font>
      <b/>
      <sz val="12"/>
      <color theme="1"/>
      <name val="Calibri"/>
      <family val="2"/>
      <scheme val="minor"/>
    </font>
    <font>
      <b/>
      <sz val="11"/>
      <color theme="1"/>
      <name val="Calibri"/>
      <family val="2"/>
      <scheme val="minor"/>
    </font>
    <font>
      <sz val="8"/>
      <color theme="1"/>
      <name val="Calibri"/>
      <family val="2"/>
      <scheme val="minor"/>
    </font>
    <font>
      <sz val="11"/>
      <name val="Calibri"/>
      <family val="2"/>
      <scheme val="minor"/>
    </font>
    <font>
      <sz val="8"/>
      <name val="Calibri"/>
      <family val="2"/>
      <scheme val="minor"/>
    </font>
    <font>
      <b/>
      <sz val="16"/>
      <name val="Calibri"/>
      <family val="2"/>
      <scheme val="minor"/>
    </font>
  </fonts>
  <fills count="5">
    <fill>
      <patternFill patternType="none"/>
    </fill>
    <fill>
      <patternFill patternType="gray125"/>
    </fill>
    <fill>
      <patternFill patternType="solid">
        <fgColor theme="8" tint="0.79998168889431442"/>
        <bgColor indexed="64"/>
      </patternFill>
    </fill>
    <fill>
      <patternFill patternType="solid">
        <fgColor theme="4"/>
        <bgColor indexed="64"/>
      </patternFill>
    </fill>
    <fill>
      <patternFill patternType="solid">
        <fgColor theme="8" tint="0.59999389629810485"/>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s>
  <cellStyleXfs count="5">
    <xf numFmtId="0" fontId="0" fillId="0" borderId="0"/>
    <xf numFmtId="0" fontId="8" fillId="0" borderId="0"/>
    <xf numFmtId="0" fontId="7" fillId="0" borderId="0"/>
    <xf numFmtId="0" fontId="6" fillId="0" borderId="0"/>
    <xf numFmtId="0" fontId="3" fillId="0" borderId="0"/>
  </cellStyleXfs>
  <cellXfs count="67">
    <xf numFmtId="0" fontId="0" fillId="0" borderId="0" xfId="0"/>
    <xf numFmtId="0" fontId="0" fillId="0" borderId="0" xfId="0" applyAlignment="1">
      <alignment horizontal="center" vertical="center"/>
    </xf>
    <xf numFmtId="0" fontId="6" fillId="0" borderId="0" xfId="3"/>
    <xf numFmtId="0" fontId="6" fillId="0" borderId="0" xfId="3" applyAlignment="1">
      <alignment vertical="center"/>
    </xf>
    <xf numFmtId="0" fontId="0" fillId="0" borderId="0" xfId="0" applyAlignment="1">
      <alignment vertical="center"/>
    </xf>
    <xf numFmtId="0" fontId="9" fillId="3" borderId="7" xfId="0" applyFont="1" applyFill="1" applyBorder="1" applyAlignment="1" applyProtection="1">
      <alignment horizontal="center" vertical="center"/>
      <protection hidden="1"/>
    </xf>
    <xf numFmtId="0" fontId="9" fillId="3" borderId="7" xfId="0" applyFont="1" applyFill="1" applyBorder="1" applyAlignment="1" applyProtection="1">
      <alignment horizontal="center" vertical="center" wrapText="1"/>
      <protection hidden="1"/>
    </xf>
    <xf numFmtId="0" fontId="9" fillId="3" borderId="9" xfId="0" applyFont="1" applyFill="1" applyBorder="1" applyAlignment="1" applyProtection="1">
      <alignment horizontal="center" vertical="center"/>
      <protection hidden="1"/>
    </xf>
    <xf numFmtId="0" fontId="9" fillId="3" borderId="11" xfId="0" applyFont="1" applyFill="1" applyBorder="1" applyAlignment="1" applyProtection="1">
      <alignment horizontal="center" vertical="center"/>
      <protection hidden="1"/>
    </xf>
    <xf numFmtId="0" fontId="10" fillId="2" borderId="12" xfId="0" applyFont="1" applyFill="1" applyBorder="1" applyAlignment="1" applyProtection="1">
      <alignment horizontal="left" vertical="center" indent="3"/>
      <protection hidden="1"/>
    </xf>
    <xf numFmtId="0" fontId="10" fillId="2" borderId="4" xfId="0" applyFont="1" applyFill="1" applyBorder="1" applyAlignment="1" applyProtection="1">
      <alignment horizontal="left" vertical="center" indent="3"/>
      <protection hidden="1"/>
    </xf>
    <xf numFmtId="0" fontId="10" fillId="2" borderId="4" xfId="0" applyFont="1" applyFill="1" applyBorder="1" applyAlignment="1" applyProtection="1">
      <alignment horizontal="left" vertical="center" wrapText="1" indent="3"/>
      <protection hidden="1"/>
    </xf>
    <xf numFmtId="0" fontId="10" fillId="2" borderId="10" xfId="0" applyFont="1" applyFill="1" applyBorder="1" applyAlignment="1" applyProtection="1">
      <alignment horizontal="left" vertical="center" indent="3"/>
      <protection hidden="1"/>
    </xf>
    <xf numFmtId="0" fontId="10" fillId="0" borderId="13" xfId="0" applyFont="1" applyBorder="1" applyAlignment="1" applyProtection="1">
      <alignment horizontal="left" vertical="center" indent="3"/>
      <protection locked="0"/>
    </xf>
    <xf numFmtId="0" fontId="10" fillId="0" borderId="5" xfId="0" applyFont="1" applyBorder="1" applyAlignment="1" applyProtection="1">
      <alignment horizontal="left" vertical="center" wrapText="1" indent="3"/>
      <protection locked="0"/>
    </xf>
    <xf numFmtId="0" fontId="0" fillId="0" borderId="3" xfId="0" applyBorder="1" applyAlignment="1">
      <alignment horizontal="left" vertical="center" indent="3"/>
    </xf>
    <xf numFmtId="0" fontId="0" fillId="0" borderId="4" xfId="0" applyBorder="1" applyAlignment="1">
      <alignment horizontal="left" vertical="center" indent="3"/>
    </xf>
    <xf numFmtId="164" fontId="0" fillId="0" borderId="4" xfId="0" applyNumberFormat="1" applyBorder="1" applyAlignment="1">
      <alignment horizontal="left" vertical="center" indent="3"/>
    </xf>
    <xf numFmtId="0" fontId="0" fillId="0" borderId="5" xfId="0" applyBorder="1" applyAlignment="1">
      <alignment horizontal="left" vertical="center" indent="3"/>
    </xf>
    <xf numFmtId="0" fontId="14" fillId="0" borderId="0" xfId="0" applyFont="1"/>
    <xf numFmtId="0" fontId="3" fillId="0" borderId="0" xfId="4"/>
    <xf numFmtId="1" fontId="3" fillId="0" borderId="0" xfId="4" applyNumberFormat="1" applyAlignment="1">
      <alignment vertical="center"/>
    </xf>
    <xf numFmtId="165" fontId="3" fillId="0" borderId="0" xfId="4" applyNumberFormat="1" applyAlignment="1">
      <alignment vertical="center"/>
    </xf>
    <xf numFmtId="0" fontId="2" fillId="0" borderId="0" xfId="3" applyFont="1"/>
    <xf numFmtId="0" fontId="1" fillId="0" borderId="0" xfId="3" applyFont="1"/>
    <xf numFmtId="0" fontId="10" fillId="0" borderId="0" xfId="2" applyFont="1" applyAlignment="1">
      <alignment horizontal="left"/>
    </xf>
    <xf numFmtId="0" fontId="10" fillId="0" borderId="0" xfId="3" applyFont="1"/>
    <xf numFmtId="0" fontId="11" fillId="0" borderId="0" xfId="3" applyFont="1"/>
    <xf numFmtId="0" fontId="12" fillId="0" borderId="0" xfId="0" applyFont="1"/>
    <xf numFmtId="0" fontId="11" fillId="0" borderId="0" xfId="4" applyFont="1"/>
    <xf numFmtId="0" fontId="16" fillId="3" borderId="1" xfId="0" applyFont="1" applyFill="1" applyBorder="1" applyAlignment="1" applyProtection="1">
      <alignment horizontal="center" vertical="center" wrapText="1"/>
      <protection hidden="1"/>
    </xf>
    <xf numFmtId="0" fontId="9" fillId="3" borderId="1" xfId="0" applyFont="1" applyFill="1" applyBorder="1" applyAlignment="1" applyProtection="1">
      <alignment horizontal="center" vertical="center"/>
    </xf>
    <xf numFmtId="0" fontId="9" fillId="3" borderId="1" xfId="0" applyFont="1" applyFill="1" applyBorder="1" applyAlignment="1" applyProtection="1">
      <alignment horizontal="center" vertical="center" wrapText="1"/>
    </xf>
    <xf numFmtId="0" fontId="9" fillId="3" borderId="1" xfId="0" applyFont="1" applyFill="1" applyBorder="1" applyAlignment="1" applyProtection="1">
      <alignment horizontal="center" vertical="center" wrapText="1"/>
      <protection hidden="1"/>
    </xf>
    <xf numFmtId="0" fontId="9" fillId="3" borderId="6" xfId="0" applyFont="1" applyFill="1" applyBorder="1" applyAlignment="1" applyProtection="1">
      <alignment horizontal="center" vertical="center"/>
    </xf>
    <xf numFmtId="0" fontId="9" fillId="3" borderId="7" xfId="0" applyFont="1" applyFill="1" applyBorder="1" applyAlignment="1" applyProtection="1">
      <alignment horizontal="center" vertical="center"/>
    </xf>
    <xf numFmtId="0" fontId="9" fillId="3" borderId="8" xfId="0" applyFont="1" applyFill="1" applyBorder="1" applyAlignment="1" applyProtection="1">
      <alignment horizontal="center" vertical="center"/>
    </xf>
    <xf numFmtId="0" fontId="10" fillId="0" borderId="13" xfId="0" applyFont="1" applyBorder="1" applyAlignment="1" applyProtection="1">
      <alignment horizontal="left" vertical="center" indent="3"/>
      <protection locked="0" hidden="1"/>
    </xf>
    <xf numFmtId="0" fontId="10" fillId="2" borderId="4" xfId="0" applyFont="1" applyFill="1" applyBorder="1" applyAlignment="1" applyProtection="1">
      <alignment horizontal="left" vertical="center" indent="3"/>
      <protection locked="0" hidden="1"/>
    </xf>
    <xf numFmtId="0" fontId="6" fillId="0" borderId="0" xfId="3" applyAlignment="1" applyProtection="1">
      <alignment horizontal="left" vertical="center" wrapText="1"/>
    </xf>
    <xf numFmtId="0" fontId="12" fillId="0" borderId="0" xfId="3" applyFont="1" applyAlignment="1" applyProtection="1">
      <alignment vertical="center" wrapText="1"/>
    </xf>
    <xf numFmtId="0" fontId="12" fillId="0" borderId="0" xfId="3" applyFont="1" applyAlignment="1" applyProtection="1">
      <alignment horizontal="left" vertical="center" wrapText="1"/>
    </xf>
    <xf numFmtId="0" fontId="4" fillId="0" borderId="2" xfId="3" applyFont="1" applyBorder="1" applyAlignment="1" applyProtection="1">
      <alignment horizontal="center" vertical="center"/>
    </xf>
    <xf numFmtId="0" fontId="11" fillId="0" borderId="2" xfId="3" applyFont="1" applyBorder="1" applyAlignment="1" applyProtection="1">
      <alignment horizontal="center" vertical="center"/>
    </xf>
    <xf numFmtId="0" fontId="6" fillId="0" borderId="0" xfId="3" applyAlignment="1" applyProtection="1">
      <alignment vertical="center" wrapText="1"/>
    </xf>
    <xf numFmtId="0" fontId="6" fillId="0" borderId="0" xfId="3" applyAlignment="1" applyProtection="1">
      <alignment vertical="center"/>
    </xf>
    <xf numFmtId="0" fontId="13" fillId="0" borderId="0" xfId="3" applyFont="1" applyAlignment="1" applyProtection="1">
      <alignment vertical="center"/>
    </xf>
    <xf numFmtId="0" fontId="12" fillId="0" borderId="0" xfId="3" applyFont="1" applyAlignment="1" applyProtection="1">
      <alignment horizontal="center" vertical="center" wrapText="1"/>
    </xf>
    <xf numFmtId="0" fontId="6" fillId="0" borderId="2" xfId="3" applyBorder="1" applyAlignment="1" applyProtection="1">
      <alignment horizontal="center" vertical="center"/>
    </xf>
    <xf numFmtId="0" fontId="5" fillId="0" borderId="0" xfId="3" applyFont="1" applyAlignment="1" applyProtection="1">
      <alignment vertical="center" wrapText="1"/>
    </xf>
    <xf numFmtId="0" fontId="16" fillId="4" borderId="3" xfId="0" applyFont="1" applyFill="1" applyBorder="1" applyAlignment="1" applyProtection="1">
      <alignment horizontal="left" vertical="center" wrapText="1" indent="13"/>
      <protection hidden="1"/>
    </xf>
    <xf numFmtId="0" fontId="11" fillId="0" borderId="0" xfId="3" applyFont="1" applyAlignment="1" applyProtection="1">
      <alignment horizontal="center" vertical="center"/>
    </xf>
    <xf numFmtId="0" fontId="4" fillId="0" borderId="0" xfId="3" applyFont="1" applyAlignment="1" applyProtection="1">
      <alignment horizontal="justify" vertical="center" wrapText="1"/>
    </xf>
    <xf numFmtId="0" fontId="6" fillId="0" borderId="0" xfId="3" applyAlignment="1" applyProtection="1">
      <alignment horizontal="center" vertical="center"/>
    </xf>
    <xf numFmtId="0" fontId="6" fillId="0" borderId="0" xfId="3" applyAlignment="1" applyProtection="1">
      <alignment horizontal="justify" vertical="center" wrapText="1"/>
    </xf>
    <xf numFmtId="0" fontId="6" fillId="0" borderId="0" xfId="3" applyAlignment="1" applyProtection="1">
      <alignment horizontal="right" vertical="center"/>
    </xf>
    <xf numFmtId="164" fontId="6" fillId="0" borderId="0" xfId="3" applyNumberFormat="1" applyAlignment="1" applyProtection="1">
      <alignment horizontal="left" vertical="center"/>
    </xf>
    <xf numFmtId="0" fontId="12" fillId="0" borderId="0" xfId="3" applyFont="1" applyAlignment="1" applyProtection="1">
      <alignment horizontal="justify" vertical="center" wrapText="1"/>
    </xf>
    <xf numFmtId="0" fontId="4" fillId="0" borderId="2" xfId="3" applyFont="1" applyBorder="1" applyAlignment="1" applyProtection="1">
      <alignment horizontal="left" vertical="center"/>
    </xf>
    <xf numFmtId="0" fontId="11" fillId="0" borderId="2" xfId="3" applyFont="1" applyBorder="1" applyAlignment="1" applyProtection="1">
      <alignment horizontal="left" vertical="center"/>
    </xf>
    <xf numFmtId="0" fontId="11" fillId="0" borderId="0" xfId="3" applyFont="1" applyAlignment="1" applyProtection="1">
      <alignment horizontal="center" vertical="center" wrapText="1"/>
    </xf>
    <xf numFmtId="0" fontId="12" fillId="0" borderId="0" xfId="3" quotePrefix="1" applyFont="1" applyAlignment="1" applyProtection="1">
      <alignment horizontal="justify" vertical="center" wrapText="1"/>
    </xf>
    <xf numFmtId="0" fontId="5" fillId="0" borderId="0" xfId="3" applyFont="1" applyAlignment="1" applyProtection="1">
      <alignment horizontal="justify" vertical="center" wrapText="1"/>
    </xf>
    <xf numFmtId="0" fontId="6" fillId="0" borderId="2" xfId="3" applyBorder="1" applyAlignment="1" applyProtection="1">
      <alignment horizontal="left" vertical="center"/>
    </xf>
    <xf numFmtId="0" fontId="12" fillId="0" borderId="0" xfId="3" applyFont="1" applyAlignment="1" applyProtection="1">
      <alignment horizontal="center" vertical="center" wrapText="1"/>
    </xf>
    <xf numFmtId="0" fontId="11" fillId="0" borderId="0" xfId="3" applyFont="1" applyAlignment="1" applyProtection="1">
      <alignment horizontal="justify" vertical="center" wrapText="1"/>
    </xf>
    <xf numFmtId="0" fontId="11" fillId="0" borderId="0" xfId="3" quotePrefix="1" applyFont="1" applyAlignment="1" applyProtection="1">
      <alignment horizontal="justify" vertical="center" wrapText="1"/>
    </xf>
  </cellXfs>
  <cellStyles count="5">
    <cellStyle name="Normal" xfId="0" builtinId="0"/>
    <cellStyle name="Normal 2" xfId="1"/>
    <cellStyle name="Normal 3" xfId="2"/>
    <cellStyle name="Normal 4" xfId="3"/>
    <cellStyle name="Normal 5"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282575</xdr:colOff>
      <xdr:row>1</xdr:row>
      <xdr:rowOff>25400</xdr:rowOff>
    </xdr:from>
    <xdr:to>
      <xdr:col>3</xdr:col>
      <xdr:colOff>19050</xdr:colOff>
      <xdr:row>4</xdr:row>
      <xdr:rowOff>114300</xdr:rowOff>
    </xdr:to>
    <xdr:sp macro="" textlink="">
      <xdr:nvSpPr>
        <xdr:cNvPr id="2" name="Rectángulo redondeado 1">
          <a:extLst>
            <a:ext uri="{FF2B5EF4-FFF2-40B4-BE49-F238E27FC236}">
              <a16:creationId xmlns:a16="http://schemas.microsoft.com/office/drawing/2014/main" id="{00000000-0008-0000-0000-000002000000}"/>
            </a:ext>
          </a:extLst>
        </xdr:cNvPr>
        <xdr:cNvSpPr/>
      </xdr:nvSpPr>
      <xdr:spPr>
        <a:xfrm>
          <a:off x="282575" y="25400"/>
          <a:ext cx="5851525" cy="660400"/>
        </a:xfrm>
        <a:prstGeom prst="roundRect">
          <a:avLst/>
        </a:prstGeom>
        <a:ln w="38100">
          <a:solidFill>
            <a:schemeClr val="tx1"/>
          </a:solid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400" b="1">
              <a:solidFill>
                <a:schemeClr val="bg1"/>
              </a:solidFill>
              <a:effectLst/>
              <a:latin typeface="+mn-lt"/>
              <a:ea typeface="+mn-ea"/>
              <a:cs typeface="+mn-cs"/>
            </a:rPr>
            <a:t>HERRAMIENTA DE AYUDA A CENTROS EDUCATIVOS DE FORMACIÓN PROFESIONAL PARA LA CONVALIDACIÓN DE MÓDULOS PROFESIONALES</a:t>
          </a:r>
        </a:p>
      </xdr:txBody>
    </xdr:sp>
    <xdr:clientData/>
  </xdr:twoCellAnchor>
  <xdr:twoCellAnchor>
    <xdr:from>
      <xdr:col>1</xdr:col>
      <xdr:colOff>0</xdr:colOff>
      <xdr:row>5</xdr:row>
      <xdr:rowOff>12700</xdr:rowOff>
    </xdr:from>
    <xdr:to>
      <xdr:col>3</xdr:col>
      <xdr:colOff>0</xdr:colOff>
      <xdr:row>6</xdr:row>
      <xdr:rowOff>190500</xdr:rowOff>
    </xdr:to>
    <xdr:sp macro="" textlink="">
      <xdr:nvSpPr>
        <xdr:cNvPr id="3" name="Redondear rectángulo de esquina del mismo lado 2">
          <a:extLst>
            <a:ext uri="{FF2B5EF4-FFF2-40B4-BE49-F238E27FC236}">
              <a16:creationId xmlns:a16="http://schemas.microsoft.com/office/drawing/2014/main" id="{00000000-0008-0000-0000-000003000000}"/>
            </a:ext>
          </a:extLst>
        </xdr:cNvPr>
        <xdr:cNvSpPr/>
      </xdr:nvSpPr>
      <xdr:spPr>
        <a:xfrm>
          <a:off x="285750" y="774700"/>
          <a:ext cx="5829300" cy="368300"/>
        </a:xfrm>
        <a:prstGeom prst="round2SameRect">
          <a:avLst/>
        </a:prstGeom>
        <a:ln w="28575">
          <a:solidFill>
            <a:srgbClr val="00206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_tradnl" sz="1600" b="1">
              <a:solidFill>
                <a:sysClr val="windowText" lastClr="000000"/>
              </a:solidFill>
            </a:rPr>
            <a:t>DATOS</a:t>
          </a:r>
          <a:r>
            <a:rPr lang="es-ES_tradnl" sz="1600" b="1" baseline="0">
              <a:solidFill>
                <a:sysClr val="windowText" lastClr="000000"/>
              </a:solidFill>
            </a:rPr>
            <a:t> DEL ALUMNADO</a:t>
          </a:r>
          <a:endParaRPr lang="es-ES_tradnl" sz="1600" b="1">
            <a:solidFill>
              <a:sysClr val="windowText" lastClr="000000"/>
            </a:solidFill>
          </a:endParaRPr>
        </a:p>
      </xdr:txBody>
    </xdr:sp>
    <xdr:clientData/>
  </xdr:twoCellAnchor>
  <xdr:twoCellAnchor>
    <xdr:from>
      <xdr:col>1</xdr:col>
      <xdr:colOff>0</xdr:colOff>
      <xdr:row>22</xdr:row>
      <xdr:rowOff>12700</xdr:rowOff>
    </xdr:from>
    <xdr:to>
      <xdr:col>3</xdr:col>
      <xdr:colOff>0</xdr:colOff>
      <xdr:row>23</xdr:row>
      <xdr:rowOff>190500</xdr:rowOff>
    </xdr:to>
    <xdr:sp macro="" textlink="">
      <xdr:nvSpPr>
        <xdr:cNvPr id="4" name="Redondear rectángulo de esquina del mismo lado 3">
          <a:extLst>
            <a:ext uri="{FF2B5EF4-FFF2-40B4-BE49-F238E27FC236}">
              <a16:creationId xmlns:a16="http://schemas.microsoft.com/office/drawing/2014/main" id="{00000000-0008-0000-0000-000004000000}"/>
            </a:ext>
          </a:extLst>
        </xdr:cNvPr>
        <xdr:cNvSpPr/>
      </xdr:nvSpPr>
      <xdr:spPr>
        <a:xfrm>
          <a:off x="285750" y="5975350"/>
          <a:ext cx="5829300" cy="368300"/>
        </a:xfrm>
        <a:prstGeom prst="round2SameRect">
          <a:avLst/>
        </a:prstGeom>
        <a:ln w="28575">
          <a:solidFill>
            <a:srgbClr val="00206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_tradnl" sz="1600" b="1">
              <a:solidFill>
                <a:sysClr val="windowText" lastClr="000000"/>
              </a:solidFill>
            </a:rPr>
            <a:t>DATOS</a:t>
          </a:r>
          <a:r>
            <a:rPr lang="es-ES_tradnl" sz="1600" b="1" baseline="0">
              <a:solidFill>
                <a:sysClr val="windowText" lastClr="000000"/>
              </a:solidFill>
            </a:rPr>
            <a:t> DEL CENTRO EDUCATIVO</a:t>
          </a:r>
          <a:endParaRPr lang="es-ES_tradnl" sz="1600" b="1">
            <a:solidFill>
              <a:sysClr val="windowText" lastClr="000000"/>
            </a:solidFill>
          </a:endParaRPr>
        </a:p>
      </xdr:txBody>
    </xdr:sp>
    <xdr:clientData/>
  </xdr:twoCellAnchor>
  <xdr:twoCellAnchor>
    <xdr:from>
      <xdr:col>1</xdr:col>
      <xdr:colOff>0</xdr:colOff>
      <xdr:row>18</xdr:row>
      <xdr:rowOff>0</xdr:rowOff>
    </xdr:from>
    <xdr:to>
      <xdr:col>3</xdr:col>
      <xdr:colOff>0</xdr:colOff>
      <xdr:row>19</xdr:row>
      <xdr:rowOff>177800</xdr:rowOff>
    </xdr:to>
    <xdr:sp macro="" textlink="">
      <xdr:nvSpPr>
        <xdr:cNvPr id="5" name="Redondear rectángulo de esquina del mismo lado 4">
          <a:extLst>
            <a:ext uri="{FF2B5EF4-FFF2-40B4-BE49-F238E27FC236}">
              <a16:creationId xmlns:a16="http://schemas.microsoft.com/office/drawing/2014/main" id="{00000000-0008-0000-0000-000005000000}"/>
            </a:ext>
          </a:extLst>
        </xdr:cNvPr>
        <xdr:cNvSpPr/>
      </xdr:nvSpPr>
      <xdr:spPr>
        <a:xfrm>
          <a:off x="330200" y="5295900"/>
          <a:ext cx="5816600" cy="368300"/>
        </a:xfrm>
        <a:prstGeom prst="round2SameRect">
          <a:avLst/>
        </a:prstGeom>
        <a:ln w="28575">
          <a:solidFill>
            <a:srgbClr val="00206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_tradnl" sz="1600" b="1">
              <a:solidFill>
                <a:sysClr val="windowText" lastClr="000000"/>
              </a:solidFill>
            </a:rPr>
            <a:t>RESOLUCIÓN</a:t>
          </a:r>
        </a:p>
      </xdr:txBody>
    </xdr:sp>
    <xdr:clientData/>
  </xdr:twoCellAnchor>
  <xdr:twoCellAnchor>
    <xdr:from>
      <xdr:col>1</xdr:col>
      <xdr:colOff>0</xdr:colOff>
      <xdr:row>33</xdr:row>
      <xdr:rowOff>28573</xdr:rowOff>
    </xdr:from>
    <xdr:to>
      <xdr:col>2</xdr:col>
      <xdr:colOff>323850</xdr:colOff>
      <xdr:row>35</xdr:row>
      <xdr:rowOff>187573</xdr:rowOff>
    </xdr:to>
    <xdr:sp macro="[0]!Limpiar_Campos" textlink="">
      <xdr:nvSpPr>
        <xdr:cNvPr id="8" name="7 Rectángulo redondeado">
          <a:extLst>
            <a:ext uri="{FF2B5EF4-FFF2-40B4-BE49-F238E27FC236}">
              <a16:creationId xmlns:a16="http://schemas.microsoft.com/office/drawing/2014/main" id="{00000000-0008-0000-0000-000008000000}"/>
            </a:ext>
          </a:extLst>
        </xdr:cNvPr>
        <xdr:cNvSpPr/>
      </xdr:nvSpPr>
      <xdr:spPr>
        <a:xfrm>
          <a:off x="123825" y="7429498"/>
          <a:ext cx="1638300" cy="540000"/>
        </a:xfrm>
        <a:prstGeom prst="roundRect">
          <a:avLst/>
        </a:prstGeom>
        <a:solidFill>
          <a:schemeClr val="accent5">
            <a:lumMod val="50000"/>
          </a:schemeClr>
        </a:solidFill>
        <a:ln w="28575">
          <a:solidFill>
            <a:schemeClr val="tx1"/>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es-ES" sz="1600" b="1">
              <a:solidFill>
                <a:schemeClr val="bg1"/>
              </a:solidFill>
            </a:rPr>
            <a:t>LIMPIAR CAMPOS</a:t>
          </a:r>
        </a:p>
      </xdr:txBody>
    </xdr:sp>
    <xdr:clientData/>
  </xdr:twoCellAnchor>
  <xdr:twoCellAnchor>
    <xdr:from>
      <xdr:col>2</xdr:col>
      <xdr:colOff>457200</xdr:colOff>
      <xdr:row>33</xdr:row>
      <xdr:rowOff>38099</xdr:rowOff>
    </xdr:from>
    <xdr:to>
      <xdr:col>2</xdr:col>
      <xdr:colOff>3028950</xdr:colOff>
      <xdr:row>36</xdr:row>
      <xdr:rowOff>6599</xdr:rowOff>
    </xdr:to>
    <xdr:sp macro="[0]!Generar_Resolucion" textlink="">
      <xdr:nvSpPr>
        <xdr:cNvPr id="9" name="6 Rectángulo redondeado">
          <a:extLst>
            <a:ext uri="{FF2B5EF4-FFF2-40B4-BE49-F238E27FC236}">
              <a16:creationId xmlns:a16="http://schemas.microsoft.com/office/drawing/2014/main" id="{00000000-0008-0000-0000-000007000000}"/>
            </a:ext>
          </a:extLst>
        </xdr:cNvPr>
        <xdr:cNvSpPr/>
      </xdr:nvSpPr>
      <xdr:spPr>
        <a:xfrm>
          <a:off x="1895475" y="7439024"/>
          <a:ext cx="2571750" cy="540000"/>
        </a:xfrm>
        <a:prstGeom prst="roundRect">
          <a:avLst/>
        </a:prstGeom>
        <a:solidFill>
          <a:schemeClr val="accent5">
            <a:lumMod val="50000"/>
          </a:schemeClr>
        </a:solidFill>
        <a:ln w="28575">
          <a:solidFill>
            <a:schemeClr val="tx1"/>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es-ES" sz="1600" b="1">
              <a:solidFill>
                <a:schemeClr val="bg1"/>
              </a:solidFill>
            </a:rPr>
            <a:t>GENERAR</a:t>
          </a:r>
          <a:r>
            <a:rPr lang="es-ES" sz="1600" b="1" baseline="0">
              <a:solidFill>
                <a:schemeClr val="bg1"/>
              </a:solidFill>
            </a:rPr>
            <a:t> RESOLUCIÓN</a:t>
          </a:r>
          <a:endParaRPr lang="es-ES" sz="1600" b="1">
            <a:solidFill>
              <a:schemeClr val="bg1"/>
            </a:solidFill>
          </a:endParaRPr>
        </a:p>
      </xdr:txBody>
    </xdr:sp>
    <xdr:clientData/>
  </xdr:twoCellAnchor>
  <xdr:twoCellAnchor>
    <xdr:from>
      <xdr:col>2</xdr:col>
      <xdr:colOff>3152775</xdr:colOff>
      <xdr:row>33</xdr:row>
      <xdr:rowOff>47625</xdr:rowOff>
    </xdr:from>
    <xdr:to>
      <xdr:col>2</xdr:col>
      <xdr:colOff>4647975</xdr:colOff>
      <xdr:row>36</xdr:row>
      <xdr:rowOff>16125</xdr:rowOff>
    </xdr:to>
    <xdr:sp macro="[0]!Generar_Acuse" textlink="">
      <xdr:nvSpPr>
        <xdr:cNvPr id="12" name="6 Rectángulo redondeado">
          <a:extLst>
            <a:ext uri="{FF2B5EF4-FFF2-40B4-BE49-F238E27FC236}">
              <a16:creationId xmlns:a16="http://schemas.microsoft.com/office/drawing/2014/main" id="{00000000-0008-0000-0000-000007000000}"/>
            </a:ext>
          </a:extLst>
        </xdr:cNvPr>
        <xdr:cNvSpPr/>
      </xdr:nvSpPr>
      <xdr:spPr>
        <a:xfrm>
          <a:off x="4591050" y="7448550"/>
          <a:ext cx="1495200" cy="540000"/>
        </a:xfrm>
        <a:prstGeom prst="roundRect">
          <a:avLst/>
        </a:prstGeom>
        <a:solidFill>
          <a:schemeClr val="accent5">
            <a:lumMod val="50000"/>
          </a:schemeClr>
        </a:solidFill>
        <a:ln w="28575">
          <a:solidFill>
            <a:schemeClr val="tx1"/>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es-ES" sz="1600" b="1">
              <a:solidFill>
                <a:schemeClr val="bg1"/>
              </a:solidFill>
            </a:rPr>
            <a:t>GENERAR</a:t>
          </a:r>
          <a:r>
            <a:rPr lang="es-ES" sz="1600" b="1" baseline="0">
              <a:solidFill>
                <a:schemeClr val="bg1"/>
              </a:solidFill>
            </a:rPr>
            <a:t> ACUSE RECIBO</a:t>
          </a:r>
          <a:endParaRPr lang="es-ES" sz="1600" b="1">
            <a:solidFill>
              <a:schemeClr val="bg1"/>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H32"/>
  <sheetViews>
    <sheetView showGridLines="0" tabSelected="1" zoomScaleNormal="100" workbookViewId="0">
      <selection activeCell="C8" sqref="C8"/>
    </sheetView>
  </sheetViews>
  <sheetFormatPr baseColWidth="10" defaultRowHeight="15" x14ac:dyDescent="0.25"/>
  <cols>
    <col min="1" max="1" width="1.85546875" customWidth="1"/>
    <col min="2" max="2" width="19.7109375" style="4" bestFit="1" customWidth="1"/>
    <col min="3" max="3" width="69.7109375" style="1" customWidth="1"/>
    <col min="4" max="4" width="10.85546875" style="19"/>
  </cols>
  <sheetData>
    <row r="1" spans="2:8" x14ac:dyDescent="0.25">
      <c r="C1" s="1" t="str">
        <f>IFERROR(LEFT(C18,FIND(":",C17)-1),"")</f>
        <v/>
      </c>
    </row>
    <row r="7" spans="2:8" ht="15.75" thickBot="1" x14ac:dyDescent="0.3"/>
    <row r="8" spans="2:8" ht="18.95" customHeight="1" thickBot="1" x14ac:dyDescent="0.3">
      <c r="B8" s="31" t="s">
        <v>0</v>
      </c>
      <c r="C8" s="13"/>
      <c r="H8" t="s">
        <v>621</v>
      </c>
    </row>
    <row r="9" spans="2:8" ht="15.75" x14ac:dyDescent="0.25">
      <c r="B9" s="8" t="s">
        <v>1</v>
      </c>
      <c r="C9" s="9" t="str">
        <f>IFERROR(VLOOKUP($C$8,Alumnado!$A:$C,2,0),"")</f>
        <v/>
      </c>
    </row>
    <row r="10" spans="2:8" ht="15.75" x14ac:dyDescent="0.25">
      <c r="B10" s="5" t="s">
        <v>617</v>
      </c>
      <c r="C10" s="38" t="str">
        <f>IFERROR(VLOOKUP($C$8,Alumnado!$A:$C,3,0),"")</f>
        <v/>
      </c>
    </row>
    <row r="11" spans="2:8" ht="15.75" x14ac:dyDescent="0.25">
      <c r="B11" s="5" t="s">
        <v>5</v>
      </c>
      <c r="C11" s="10" t="str">
        <f>IFERROR(MID($C$10,FIND(" ",$C$10)+1,2),"")</f>
        <v/>
      </c>
    </row>
    <row r="12" spans="2:8" ht="15.75" x14ac:dyDescent="0.25">
      <c r="B12" s="5" t="s">
        <v>2</v>
      </c>
      <c r="C12" s="10" t="str">
        <f>IF(ISNUMBER(SEARCH("C.F.G.M.",$C$10)),"Medio",IF(ISNUMBER(SEARCH("C.F.G.S.",$C$10)),"Superior",""))</f>
        <v/>
      </c>
    </row>
    <row r="13" spans="2:8" ht="15.75" x14ac:dyDescent="0.25">
      <c r="B13" s="6" t="s">
        <v>4</v>
      </c>
      <c r="C13" s="11" t="str">
        <f>IFERROR(TRIM(MID($C$10,FIND("(",$C$10,2)+1,FIND(")",$C$10,9)-FIND("(",$C$10,2)-1)),"")</f>
        <v/>
      </c>
    </row>
    <row r="14" spans="2:8" ht="15.75" x14ac:dyDescent="0.25">
      <c r="B14" s="5" t="s">
        <v>2432</v>
      </c>
      <c r="C14" s="10" t="str">
        <f>IF($C$13="","",VLOOKUP($C$13,T_Títulos!$D:$E,2,0))</f>
        <v/>
      </c>
    </row>
    <row r="15" spans="2:8" ht="16.5" thickBot="1" x14ac:dyDescent="0.3">
      <c r="B15" s="7" t="s">
        <v>2428</v>
      </c>
      <c r="C15" s="12" t="str">
        <f>IF($C$13="","",VLOOKUP($C$13,T_Títulos!$D:$G,3,0))</f>
        <v/>
      </c>
    </row>
    <row r="16" spans="2:8" ht="32.25" thickBot="1" x14ac:dyDescent="0.3">
      <c r="B16" s="32" t="s">
        <v>6</v>
      </c>
      <c r="C16" s="37"/>
      <c r="H16" t="s">
        <v>621</v>
      </c>
    </row>
    <row r="17" spans="2:8" ht="48" customHeight="1" thickBot="1" x14ac:dyDescent="0.3">
      <c r="B17" s="33" t="s">
        <v>5580</v>
      </c>
      <c r="C17" s="14"/>
      <c r="H17" t="s">
        <v>621</v>
      </c>
    </row>
    <row r="18" spans="2:8" x14ac:dyDescent="0.25">
      <c r="H18" t="s">
        <v>621</v>
      </c>
    </row>
    <row r="19" spans="2:8" x14ac:dyDescent="0.25">
      <c r="H19" t="s">
        <v>621</v>
      </c>
    </row>
    <row r="20" spans="2:8" ht="15.75" thickBot="1" x14ac:dyDescent="0.3">
      <c r="H20" t="s">
        <v>621</v>
      </c>
    </row>
    <row r="21" spans="2:8" ht="33.950000000000003" customHeight="1" thickBot="1" x14ac:dyDescent="0.3">
      <c r="B21" s="30" t="s">
        <v>9</v>
      </c>
      <c r="C21" s="50" t="str">
        <f>IF($C$17="","DESESTIMAR","ESTIMAR")</f>
        <v>DESESTIMAR</v>
      </c>
    </row>
    <row r="22" spans="2:8" x14ac:dyDescent="0.25">
      <c r="H22" t="s">
        <v>621</v>
      </c>
    </row>
    <row r="23" spans="2:8" x14ac:dyDescent="0.25">
      <c r="H23" t="s">
        <v>621</v>
      </c>
    </row>
    <row r="24" spans="2:8" ht="15.75" thickBot="1" x14ac:dyDescent="0.3">
      <c r="H24" t="s">
        <v>621</v>
      </c>
    </row>
    <row r="25" spans="2:8" ht="15.75" x14ac:dyDescent="0.25">
      <c r="B25" s="34" t="s">
        <v>107</v>
      </c>
      <c r="C25" s="15" t="s">
        <v>109</v>
      </c>
      <c r="H25" t="s">
        <v>621</v>
      </c>
    </row>
    <row r="26" spans="2:8" ht="15.75" x14ac:dyDescent="0.25">
      <c r="B26" s="35" t="s">
        <v>108</v>
      </c>
      <c r="C26" s="16">
        <v>28123456</v>
      </c>
      <c r="H26" t="s">
        <v>621</v>
      </c>
    </row>
    <row r="27" spans="2:8" ht="15.75" x14ac:dyDescent="0.25">
      <c r="B27" s="35" t="s">
        <v>111</v>
      </c>
      <c r="C27" s="16" t="s">
        <v>112</v>
      </c>
      <c r="H27" t="s">
        <v>621</v>
      </c>
    </row>
    <row r="28" spans="2:8" ht="15.75" x14ac:dyDescent="0.25">
      <c r="B28" s="35" t="s">
        <v>106</v>
      </c>
      <c r="C28" s="16" t="s">
        <v>110</v>
      </c>
      <c r="H28" t="s">
        <v>621</v>
      </c>
    </row>
    <row r="29" spans="2:8" ht="15.75" x14ac:dyDescent="0.25">
      <c r="B29" s="35" t="s">
        <v>5481</v>
      </c>
      <c r="C29" s="16" t="s">
        <v>2416</v>
      </c>
      <c r="H29" t="s">
        <v>621</v>
      </c>
    </row>
    <row r="30" spans="2:8" ht="15.75" x14ac:dyDescent="0.25">
      <c r="B30" s="35" t="s">
        <v>2421</v>
      </c>
      <c r="C30" s="17">
        <f ca="1">TODAY()</f>
        <v>45483</v>
      </c>
    </row>
    <row r="31" spans="2:8" ht="15.75" x14ac:dyDescent="0.25">
      <c r="B31" s="35" t="s">
        <v>2431</v>
      </c>
      <c r="C31" s="17" t="s">
        <v>2423</v>
      </c>
      <c r="H31" t="s">
        <v>621</v>
      </c>
    </row>
    <row r="32" spans="2:8" ht="16.5" thickBot="1" x14ac:dyDescent="0.3">
      <c r="B32" s="36" t="s">
        <v>2426</v>
      </c>
      <c r="C32" s="18" t="s">
        <v>2427</v>
      </c>
      <c r="H32" t="s">
        <v>621</v>
      </c>
    </row>
  </sheetData>
  <sheetProtection algorithmName="SHA-512" hashValue="7SXtslqhcIJv+jQ0z4WZnE4EPfn6XqCjs8Kpp4r2FR3WwCTA/P64nt5EOWwWS4/Nu23XfFth/hYGLYb/4S6q4w==" saltValue="+9BSbeOWpJCwlPu6KFPiOQ==" spinCount="100000" sheet="1" objects="1" scenarios="1"/>
  <dataValidations count="3">
    <dataValidation type="list" allowBlank="1" showInputMessage="1" showErrorMessage="1" errorTitle="Error" error="Debe seleccionar el Título - Modulo/s aportado de la lista desplegable." sqref="C17">
      <formula1>INDIRECT("RD_M_"&amp;SUBSTITUTE(TRIM(MID($C$15,FIND("/",$C$15)-4,9)),"/","_")&amp;"_"&amp;MID($C$16,FIND("(",$C$16)+1,4))</formula1>
    </dataValidation>
    <dataValidation type="list" allowBlank="1" showInputMessage="1" showErrorMessage="1" sqref="C17">
      <formula1>INDIRECT($D$16)</formula1>
    </dataValidation>
    <dataValidation type="list" allowBlank="1" showInputMessage="1" showErrorMessage="1" errorTitle="Error" error="Debe seleccionar el Módulo solicitado de la lista desplegable." sqref="C16">
      <formula1>INDIRECT("RD_"&amp;SUBSTITUTE(TRIM(MID($C$15,FIND("/",$C$15)-4,9)),"/","_"))</formula1>
    </dataValidation>
  </dataValidations>
  <pageMargins left="0.7" right="0.7" top="0.75" bottom="0.75" header="0.3" footer="0.3"/>
  <pageSetup paperSize="9" orientation="portrait" r:id="rId1"/>
  <ignoredErrors>
    <ignoredError sqref="C10" unlockedFormula="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Alumnado!$A:$A</xm:f>
          </x14:formula1>
          <xm:sqref>C7</xm:sqref>
        </x14:dataValidation>
        <x14:dataValidation type="list" allowBlank="1" showInputMessage="1" showErrorMessage="1" errorTitle="Error" error="Debe seleccionar algún alumnado de la lista desplegable.">
          <x14:formula1>
            <xm:f>Alumnado!$A2:$A9630</xm:f>
          </x14:formula1>
          <xm:sqref>C8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48"/>
  <sheetViews>
    <sheetView workbookViewId="0">
      <selection activeCell="A2" sqref="A2:G4"/>
    </sheetView>
  </sheetViews>
  <sheetFormatPr baseColWidth="10" defaultColWidth="10.85546875" defaultRowHeight="15.75" x14ac:dyDescent="0.25"/>
  <cols>
    <col min="1" max="7" width="12.42578125" style="3" customWidth="1"/>
    <col min="8" max="16384" width="10.85546875" style="3"/>
  </cols>
  <sheetData>
    <row r="1" spans="1:7" x14ac:dyDescent="0.25">
      <c r="A1" s="51" t="s">
        <v>2414</v>
      </c>
      <c r="B1" s="51"/>
      <c r="C1" s="51"/>
      <c r="D1" s="51"/>
      <c r="E1" s="51"/>
      <c r="F1" s="51"/>
      <c r="G1" s="51"/>
    </row>
    <row r="2" spans="1:7" ht="15.75" customHeight="1" x14ac:dyDescent="0.25">
      <c r="A2" s="60" t="s">
        <v>2430</v>
      </c>
      <c r="B2" s="60"/>
      <c r="C2" s="60"/>
      <c r="D2" s="60"/>
      <c r="E2" s="60"/>
      <c r="F2" s="60"/>
      <c r="G2" s="60"/>
    </row>
    <row r="3" spans="1:7" x14ac:dyDescent="0.25">
      <c r="A3" s="60"/>
      <c r="B3" s="60"/>
      <c r="C3" s="60"/>
      <c r="D3" s="60"/>
      <c r="E3" s="60"/>
      <c r="F3" s="60"/>
      <c r="G3" s="60"/>
    </row>
    <row r="4" spans="1:7" x14ac:dyDescent="0.25">
      <c r="A4" s="60"/>
      <c r="B4" s="60"/>
      <c r="C4" s="60"/>
      <c r="D4" s="60"/>
      <c r="E4" s="60"/>
      <c r="F4" s="60"/>
      <c r="G4" s="60"/>
    </row>
    <row r="5" spans="1:7" ht="15.95" customHeight="1" x14ac:dyDescent="0.25">
      <c r="A5" s="52" t="str">
        <f>"D./D.ª "&amp;FORMULARIO!$C$28&amp; ", Director/a del centro docente "&amp;FORMULARIO!$C$25&amp;", con código "&amp;FORMULARIO!$C$26&amp;" y NIF: "&amp; FORMULARIO!$C$29&amp;" de la localidad de "&amp;FORMULARIO!$C$27&amp;" (Madrid), una vez examinada la documentación presentada por el alumno:"</f>
        <v>D./D.ª Arturo Toledo Santos, Director/a del centro docente IES PROPIO, con código 28123456 y NIF: Q12345678Z de la localidad de Alcalá de Henares (Madrid), una vez examinada la documentación presentada por el alumno:</v>
      </c>
      <c r="B5" s="52"/>
      <c r="C5" s="52"/>
      <c r="D5" s="52"/>
      <c r="E5" s="52"/>
      <c r="F5" s="52"/>
      <c r="G5" s="52"/>
    </row>
    <row r="6" spans="1:7" x14ac:dyDescent="0.25">
      <c r="A6" s="52"/>
      <c r="B6" s="52"/>
      <c r="C6" s="52"/>
      <c r="D6" s="52"/>
      <c r="E6" s="52"/>
      <c r="F6" s="52"/>
      <c r="G6" s="52"/>
    </row>
    <row r="7" spans="1:7" x14ac:dyDescent="0.25">
      <c r="A7" s="52"/>
      <c r="B7" s="52"/>
      <c r="C7" s="52"/>
      <c r="D7" s="52"/>
      <c r="E7" s="52"/>
      <c r="F7" s="52"/>
      <c r="G7" s="52"/>
    </row>
    <row r="8" spans="1:7" x14ac:dyDescent="0.25">
      <c r="A8" s="52"/>
      <c r="B8" s="52"/>
      <c r="C8" s="52"/>
      <c r="D8" s="52"/>
      <c r="E8" s="52"/>
      <c r="F8" s="52"/>
      <c r="G8" s="52"/>
    </row>
    <row r="9" spans="1:7" ht="15.95" customHeight="1" x14ac:dyDescent="0.25">
      <c r="A9" s="52" t="str">
        <f>"D./D.ª " &amp;FORMULARIO!$C$8&amp;", con DNI/NIE: "&amp;FORMULARIO!$C$9&amp;" relativa a la solicitud de convalidación del módulo profesional "&amp; FORMULARIO!$C$16&amp;", perteneciente al ciclo formativo "&amp;FORMULARIO!$C$13&amp;" de grado "&amp;FORMULARIO!$C$12&amp;", cuyo currículo está establecido por "&amp;FORMULARIO!$C$15&amp;","</f>
        <v>D./D.ª , con DNI/NIE:  relativa a la solicitud de convalidación del módulo profesional , perteneciente al ciclo formativo  de grado , cuyo currículo está establecido por ,</v>
      </c>
      <c r="B9" s="52"/>
      <c r="C9" s="52"/>
      <c r="D9" s="52"/>
      <c r="E9" s="52"/>
      <c r="F9" s="52"/>
      <c r="G9" s="52"/>
    </row>
    <row r="10" spans="1:7" ht="15.95" customHeight="1" x14ac:dyDescent="0.25">
      <c r="A10" s="52"/>
      <c r="B10" s="52"/>
      <c r="C10" s="52"/>
      <c r="D10" s="52"/>
      <c r="E10" s="52"/>
      <c r="F10" s="52"/>
      <c r="G10" s="52"/>
    </row>
    <row r="11" spans="1:7" x14ac:dyDescent="0.25">
      <c r="A11" s="52"/>
      <c r="B11" s="52"/>
      <c r="C11" s="52"/>
      <c r="D11" s="52"/>
      <c r="E11" s="52"/>
      <c r="F11" s="52"/>
      <c r="G11" s="52"/>
    </row>
    <row r="12" spans="1:7" x14ac:dyDescent="0.25">
      <c r="A12" s="52"/>
      <c r="B12" s="52"/>
      <c r="C12" s="52"/>
      <c r="D12" s="52"/>
      <c r="E12" s="52"/>
      <c r="F12" s="52"/>
      <c r="G12" s="52"/>
    </row>
    <row r="13" spans="1:7" x14ac:dyDescent="0.25">
      <c r="A13" s="52"/>
      <c r="B13" s="52"/>
      <c r="C13" s="52"/>
      <c r="D13" s="52"/>
      <c r="E13" s="52"/>
      <c r="F13" s="52"/>
      <c r="G13" s="52"/>
    </row>
    <row r="14" spans="1:7" x14ac:dyDescent="0.25">
      <c r="A14" s="39"/>
      <c r="B14" s="39"/>
      <c r="C14" s="39"/>
      <c r="D14" s="39"/>
      <c r="E14" s="39"/>
      <c r="F14" s="39"/>
      <c r="G14" s="39"/>
    </row>
    <row r="15" spans="1:7" x14ac:dyDescent="0.25">
      <c r="A15" s="40" t="s">
        <v>2417</v>
      </c>
      <c r="B15" s="40"/>
      <c r="C15" s="40"/>
      <c r="D15" s="40"/>
      <c r="E15" s="40"/>
      <c r="F15" s="40"/>
      <c r="G15" s="40"/>
    </row>
    <row r="16" spans="1:7" x14ac:dyDescent="0.25">
      <c r="A16" s="57" t="s">
        <v>2415</v>
      </c>
      <c r="B16" s="57"/>
      <c r="C16" s="57"/>
      <c r="D16" s="57"/>
      <c r="E16" s="57"/>
      <c r="F16" s="57"/>
      <c r="G16" s="57"/>
    </row>
    <row r="17" spans="1:7" x14ac:dyDescent="0.25">
      <c r="A17" s="57"/>
      <c r="B17" s="57"/>
      <c r="C17" s="57"/>
      <c r="D17" s="57"/>
      <c r="E17" s="57"/>
      <c r="F17" s="57"/>
      <c r="G17" s="57"/>
    </row>
    <row r="18" spans="1:7" ht="15.95" customHeight="1" x14ac:dyDescent="0.25">
      <c r="A18" s="41"/>
      <c r="B18" s="41"/>
      <c r="C18" s="41"/>
      <c r="D18" s="41"/>
      <c r="E18" s="41"/>
      <c r="F18" s="41"/>
      <c r="G18" s="41"/>
    </row>
    <row r="19" spans="1:7" x14ac:dyDescent="0.25">
      <c r="A19" s="42" t="s">
        <v>7</v>
      </c>
      <c r="B19" s="58" t="s">
        <v>2418</v>
      </c>
      <c r="C19" s="58"/>
      <c r="D19" s="58"/>
      <c r="E19" s="58"/>
      <c r="F19" s="58"/>
      <c r="G19" s="58"/>
    </row>
    <row r="20" spans="1:7" x14ac:dyDescent="0.25">
      <c r="A20" s="43" t="str">
        <f>IFERROR(MID(FORMULARIO!C16,FIND("(",FORMULARIO!C16)+1,FIND(")",FORMULARIO!C16)-(FIND("(",FORMULARIO!C16)+1)),"")</f>
        <v/>
      </c>
      <c r="B20" s="59">
        <f>IFERROR(LEFT(FORMULARIO!C16,FIND("(",FORMULARIO!C16)-2),FORMULARIO!C16)</f>
        <v>0</v>
      </c>
      <c r="C20" s="59"/>
      <c r="D20" s="59"/>
      <c r="E20" s="59"/>
      <c r="F20" s="59"/>
      <c r="G20" s="59"/>
    </row>
    <row r="21" spans="1:7" x14ac:dyDescent="0.25">
      <c r="A21" s="41"/>
      <c r="B21" s="41"/>
      <c r="C21" s="41"/>
      <c r="D21" s="41"/>
      <c r="E21" s="41"/>
      <c r="F21" s="41"/>
      <c r="G21" s="41"/>
    </row>
    <row r="22" spans="1:7" x14ac:dyDescent="0.25">
      <c r="A22" s="54" t="s">
        <v>2419</v>
      </c>
      <c r="B22" s="54"/>
      <c r="C22" s="54"/>
      <c r="D22" s="54"/>
      <c r="E22" s="54"/>
      <c r="F22" s="54"/>
      <c r="G22" s="54"/>
    </row>
    <row r="23" spans="1:7" x14ac:dyDescent="0.25">
      <c r="A23" s="54"/>
      <c r="B23" s="54"/>
      <c r="C23" s="54"/>
      <c r="D23" s="54"/>
      <c r="E23" s="54"/>
      <c r="F23" s="54"/>
      <c r="G23" s="54"/>
    </row>
    <row r="24" spans="1:7" x14ac:dyDescent="0.25">
      <c r="A24" s="54"/>
      <c r="B24" s="54"/>
      <c r="C24" s="54"/>
      <c r="D24" s="54"/>
      <c r="E24" s="54"/>
      <c r="F24" s="54"/>
      <c r="G24" s="54"/>
    </row>
    <row r="25" spans="1:7" x14ac:dyDescent="0.25">
      <c r="A25" s="54"/>
      <c r="B25" s="54"/>
      <c r="C25" s="54"/>
      <c r="D25" s="54"/>
      <c r="E25" s="54"/>
      <c r="F25" s="54"/>
      <c r="G25" s="54"/>
    </row>
    <row r="26" spans="1:7" ht="15.95" customHeight="1" x14ac:dyDescent="0.25">
      <c r="A26" s="54"/>
      <c r="B26" s="54"/>
      <c r="C26" s="54"/>
      <c r="D26" s="54"/>
      <c r="E26" s="54"/>
      <c r="F26" s="54"/>
      <c r="G26" s="54"/>
    </row>
    <row r="27" spans="1:7" x14ac:dyDescent="0.25">
      <c r="A27" s="54"/>
      <c r="B27" s="54"/>
      <c r="C27" s="54"/>
      <c r="D27" s="54"/>
      <c r="E27" s="54"/>
      <c r="F27" s="54"/>
      <c r="G27" s="54"/>
    </row>
    <row r="28" spans="1:7" x14ac:dyDescent="0.25">
      <c r="A28" s="54"/>
      <c r="B28" s="54"/>
      <c r="C28" s="54"/>
      <c r="D28" s="54"/>
      <c r="E28" s="54"/>
      <c r="F28" s="54"/>
      <c r="G28" s="54"/>
    </row>
    <row r="29" spans="1:7" x14ac:dyDescent="0.25">
      <c r="A29" s="54"/>
      <c r="B29" s="54"/>
      <c r="C29" s="54"/>
      <c r="D29" s="54"/>
      <c r="E29" s="54"/>
      <c r="F29" s="54"/>
      <c r="G29" s="54"/>
    </row>
    <row r="30" spans="1:7" x14ac:dyDescent="0.25">
      <c r="A30" s="44"/>
      <c r="B30" s="44"/>
      <c r="C30" s="44"/>
      <c r="D30" s="44"/>
      <c r="E30" s="44"/>
      <c r="F30" s="44"/>
      <c r="G30" s="44"/>
    </row>
    <row r="31" spans="1:7" x14ac:dyDescent="0.25">
      <c r="A31" s="54" t="s">
        <v>2420</v>
      </c>
      <c r="B31" s="54"/>
      <c r="C31" s="54"/>
      <c r="D31" s="54"/>
      <c r="E31" s="54"/>
      <c r="F31" s="54"/>
      <c r="G31" s="54"/>
    </row>
    <row r="32" spans="1:7" x14ac:dyDescent="0.25">
      <c r="A32" s="54"/>
      <c r="B32" s="54"/>
      <c r="C32" s="54"/>
      <c r="D32" s="54"/>
      <c r="E32" s="54"/>
      <c r="F32" s="54"/>
      <c r="G32" s="54"/>
    </row>
    <row r="33" spans="1:7" x14ac:dyDescent="0.25">
      <c r="A33" s="54"/>
      <c r="B33" s="54"/>
      <c r="C33" s="54"/>
      <c r="D33" s="54"/>
      <c r="E33" s="54"/>
      <c r="F33" s="54"/>
      <c r="G33" s="54"/>
    </row>
    <row r="34" spans="1:7" ht="15.95" customHeight="1" x14ac:dyDescent="0.25">
      <c r="A34" s="54"/>
      <c r="B34" s="54"/>
      <c r="C34" s="54"/>
      <c r="D34" s="54"/>
      <c r="E34" s="54"/>
      <c r="F34" s="54"/>
      <c r="G34" s="54"/>
    </row>
    <row r="35" spans="1:7" x14ac:dyDescent="0.25">
      <c r="A35" s="54"/>
      <c r="B35" s="54"/>
      <c r="C35" s="54"/>
      <c r="D35" s="54"/>
      <c r="E35" s="54"/>
      <c r="F35" s="54"/>
      <c r="G35" s="54"/>
    </row>
    <row r="36" spans="1:7" x14ac:dyDescent="0.25">
      <c r="A36" s="54"/>
      <c r="B36" s="54"/>
      <c r="C36" s="54"/>
      <c r="D36" s="54"/>
      <c r="E36" s="54"/>
      <c r="F36" s="54"/>
      <c r="G36" s="54"/>
    </row>
    <row r="37" spans="1:7" x14ac:dyDescent="0.25">
      <c r="A37" s="54"/>
      <c r="B37" s="54"/>
      <c r="C37" s="54"/>
      <c r="D37" s="54"/>
      <c r="E37" s="54"/>
      <c r="F37" s="54"/>
      <c r="G37" s="54"/>
    </row>
    <row r="38" spans="1:7" x14ac:dyDescent="0.25">
      <c r="A38" s="54"/>
      <c r="B38" s="54"/>
      <c r="C38" s="54"/>
      <c r="D38" s="54"/>
      <c r="E38" s="54"/>
      <c r="F38" s="54"/>
      <c r="G38" s="54"/>
    </row>
    <row r="39" spans="1:7" x14ac:dyDescent="0.25">
      <c r="A39" s="54"/>
      <c r="B39" s="54"/>
      <c r="C39" s="54"/>
      <c r="D39" s="54"/>
      <c r="E39" s="54"/>
      <c r="F39" s="54"/>
      <c r="G39" s="54"/>
    </row>
    <row r="40" spans="1:7" x14ac:dyDescent="0.25">
      <c r="A40" s="44"/>
      <c r="B40" s="44"/>
      <c r="C40" s="44"/>
      <c r="D40" s="44"/>
      <c r="E40" s="44"/>
      <c r="F40" s="44"/>
      <c r="G40" s="44"/>
    </row>
    <row r="41" spans="1:7" x14ac:dyDescent="0.25">
      <c r="A41" s="55" t="s">
        <v>2422</v>
      </c>
      <c r="B41" s="55"/>
      <c r="C41" s="55"/>
      <c r="D41" s="55"/>
      <c r="E41" s="56">
        <f ca="1">FORMULARIO!$C$30</f>
        <v>45483</v>
      </c>
      <c r="F41" s="56"/>
      <c r="G41" s="56"/>
    </row>
    <row r="42" spans="1:7" x14ac:dyDescent="0.25">
      <c r="A42" s="45"/>
      <c r="B42" s="45"/>
      <c r="C42" s="45"/>
      <c r="D42" s="45"/>
      <c r="E42" s="45"/>
      <c r="F42" s="45"/>
      <c r="G42" s="45"/>
    </row>
    <row r="43" spans="1:7" x14ac:dyDescent="0.25">
      <c r="A43" s="45"/>
      <c r="B43" s="45"/>
      <c r="C43" s="45"/>
      <c r="D43" s="45"/>
      <c r="E43" s="45"/>
      <c r="F43" s="45"/>
      <c r="G43" s="45"/>
    </row>
    <row r="44" spans="1:7" x14ac:dyDescent="0.25">
      <c r="A44" s="45"/>
      <c r="B44" s="45"/>
      <c r="C44" s="45"/>
      <c r="D44" s="45"/>
      <c r="E44" s="45"/>
      <c r="F44" s="45"/>
      <c r="G44" s="45"/>
    </row>
    <row r="45" spans="1:7" x14ac:dyDescent="0.25">
      <c r="A45" s="45"/>
      <c r="B45" s="45"/>
      <c r="C45" s="45"/>
      <c r="D45" s="45"/>
      <c r="E45" s="45"/>
      <c r="F45" s="45"/>
      <c r="G45" s="45"/>
    </row>
    <row r="46" spans="1:7" x14ac:dyDescent="0.25">
      <c r="A46" s="53" t="str">
        <f>"Fdo.: "&amp;FORMULARIO!$C$28</f>
        <v>Fdo.: Arturo Toledo Santos</v>
      </c>
      <c r="B46" s="53"/>
      <c r="C46" s="53"/>
      <c r="D46" s="53"/>
      <c r="E46" s="53"/>
      <c r="F46" s="53"/>
      <c r="G46" s="53"/>
    </row>
    <row r="47" spans="1:7" x14ac:dyDescent="0.25">
      <c r="A47" s="45"/>
      <c r="B47" s="45"/>
      <c r="C47" s="45"/>
      <c r="D47" s="45"/>
      <c r="E47" s="45"/>
      <c r="F47" s="45"/>
      <c r="G47" s="45"/>
    </row>
    <row r="48" spans="1:7" x14ac:dyDescent="0.25">
      <c r="A48" s="46" t="str">
        <f>"Curso: "&amp;FORMULARIO!$C$32&amp;" - "&amp;FORMULARIO!$C$10&amp;" - "&amp;FORMULARIO!$C$8</f>
        <v xml:space="preserve">Curso: 2024-2025 -  - </v>
      </c>
      <c r="B48" s="45"/>
      <c r="C48" s="45"/>
      <c r="D48" s="45"/>
      <c r="E48" s="45"/>
      <c r="F48" s="45"/>
      <c r="G48" s="45"/>
    </row>
  </sheetData>
  <sheetProtection algorithmName="SHA-512" hashValue="C++BLOatq4Aca8HcraA65p6po3jVGGi49kW216EOIDdipE7Zcen4mzc1BawhqSkSfWOfIzC5tH69BJm8mmQZOw==" saltValue="T4V22+zkKX802hZ5jz/mlw==" spinCount="100000" sheet="1" objects="1" scenarios="1"/>
  <mergeCells count="12">
    <mergeCell ref="A1:G1"/>
    <mergeCell ref="A5:G8"/>
    <mergeCell ref="A46:G46"/>
    <mergeCell ref="A31:G39"/>
    <mergeCell ref="A41:D41"/>
    <mergeCell ref="E41:G41"/>
    <mergeCell ref="A9:G13"/>
    <mergeCell ref="A16:G17"/>
    <mergeCell ref="B19:G19"/>
    <mergeCell ref="B20:G20"/>
    <mergeCell ref="A22:G29"/>
    <mergeCell ref="A2:G4"/>
  </mergeCells>
  <pageMargins left="0.7" right="0.7" top="0.75" bottom="0.75" header="0.3" footer="0.3"/>
  <pageSetup paperSize="9" orientation="portrait" r:id="rId1"/>
  <ignoredErrors>
    <ignoredError sqref="A5 A9 A20:B20 E41 A46 A48"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G48"/>
  <sheetViews>
    <sheetView workbookViewId="0">
      <selection activeCell="A2" sqref="A2:G4"/>
    </sheetView>
  </sheetViews>
  <sheetFormatPr baseColWidth="10" defaultColWidth="10.85546875" defaultRowHeight="15.75" x14ac:dyDescent="0.25"/>
  <cols>
    <col min="1" max="7" width="12.42578125" style="45" customWidth="1"/>
    <col min="8" max="16384" width="10.85546875" style="45"/>
  </cols>
  <sheetData>
    <row r="1" spans="1:7" x14ac:dyDescent="0.25">
      <c r="A1" s="51" t="s">
        <v>2414</v>
      </c>
      <c r="B1" s="51"/>
      <c r="C1" s="51"/>
      <c r="D1" s="51"/>
      <c r="E1" s="51"/>
      <c r="F1" s="51"/>
      <c r="G1" s="51"/>
    </row>
    <row r="2" spans="1:7" x14ac:dyDescent="0.25">
      <c r="A2" s="60" t="s">
        <v>2430</v>
      </c>
      <c r="B2" s="60"/>
      <c r="C2" s="60"/>
      <c r="D2" s="60"/>
      <c r="E2" s="60"/>
      <c r="F2" s="60"/>
      <c r="G2" s="60"/>
    </row>
    <row r="3" spans="1:7" x14ac:dyDescent="0.25">
      <c r="A3" s="60"/>
      <c r="B3" s="60"/>
      <c r="C3" s="60"/>
      <c r="D3" s="60"/>
      <c r="E3" s="60"/>
      <c r="F3" s="60"/>
      <c r="G3" s="60"/>
    </row>
    <row r="4" spans="1:7" x14ac:dyDescent="0.25">
      <c r="A4" s="60"/>
      <c r="B4" s="60"/>
      <c r="C4" s="60"/>
      <c r="D4" s="60"/>
      <c r="E4" s="60"/>
      <c r="F4" s="60"/>
      <c r="G4" s="60"/>
    </row>
    <row r="5" spans="1:7" ht="15.95" customHeight="1" x14ac:dyDescent="0.25">
      <c r="A5" s="52" t="str">
        <f>"D./D.ª "&amp;FORMULARIO!$C$28&amp; ", Director/a del centro docente "&amp;FORMULARIO!$C$25&amp;", con código "&amp;FORMULARIO!$C$26&amp;" y NIF: "&amp; FORMULARIO!$C$29&amp;" de la localidad de "&amp;FORMULARIO!$C$27&amp;" (Madrid), una vez examinada la documentación presentada por el alumno:"</f>
        <v>D./D.ª Arturo Toledo Santos, Director/a del centro docente IES PROPIO, con código 28123456 y NIF: Q12345678Z de la localidad de Alcalá de Henares (Madrid), una vez examinada la documentación presentada por el alumno:</v>
      </c>
      <c r="B5" s="52"/>
      <c r="C5" s="52"/>
      <c r="D5" s="52"/>
      <c r="E5" s="52"/>
      <c r="F5" s="52"/>
      <c r="G5" s="52"/>
    </row>
    <row r="6" spans="1:7" x14ac:dyDescent="0.25">
      <c r="A6" s="52"/>
      <c r="B6" s="52"/>
      <c r="C6" s="52"/>
      <c r="D6" s="52"/>
      <c r="E6" s="52"/>
      <c r="F6" s="52"/>
      <c r="G6" s="52"/>
    </row>
    <row r="7" spans="1:7" x14ac:dyDescent="0.25">
      <c r="A7" s="52"/>
      <c r="B7" s="52"/>
      <c r="C7" s="52"/>
      <c r="D7" s="52"/>
      <c r="E7" s="52"/>
      <c r="F7" s="52"/>
      <c r="G7" s="52"/>
    </row>
    <row r="8" spans="1:7" x14ac:dyDescent="0.25">
      <c r="A8" s="52"/>
      <c r="B8" s="52"/>
      <c r="C8" s="52"/>
      <c r="D8" s="52"/>
      <c r="E8" s="52"/>
      <c r="F8" s="52"/>
      <c r="G8" s="52"/>
    </row>
    <row r="9" spans="1:7" ht="15.95" customHeight="1" x14ac:dyDescent="0.25">
      <c r="A9" s="52" t="str">
        <f>"D./D.ª " &amp;FORMULARIO!$C$8&amp;", con DNI/NIE: "&amp;FORMULARIO!$C$9&amp;" relativa a la solicitud de convalidación del módulo profesional "&amp; FORMULARIO!$C$16&amp;", perteneciente al ciclo formativo "&amp;FORMULARIO!$C$13&amp;" de grado "&amp;FORMULARIO!$C$12&amp;", cuyo currículo está establecido por "&amp;FORMULARIO!$C$15&amp;","</f>
        <v>D./D.ª , con DNI/NIE:  relativa a la solicitud de convalidación del módulo profesional , perteneciente al ciclo formativo  de grado , cuyo currículo está establecido por ,</v>
      </c>
      <c r="B9" s="52"/>
      <c r="C9" s="52"/>
      <c r="D9" s="52"/>
      <c r="E9" s="52"/>
      <c r="F9" s="52"/>
      <c r="G9" s="52"/>
    </row>
    <row r="10" spans="1:7" ht="15.95" customHeight="1" x14ac:dyDescent="0.25">
      <c r="A10" s="52"/>
      <c r="B10" s="52"/>
      <c r="C10" s="52"/>
      <c r="D10" s="52"/>
      <c r="E10" s="52"/>
      <c r="F10" s="52"/>
      <c r="G10" s="52"/>
    </row>
    <row r="11" spans="1:7" x14ac:dyDescent="0.25">
      <c r="A11" s="52"/>
      <c r="B11" s="52"/>
      <c r="C11" s="52"/>
      <c r="D11" s="52"/>
      <c r="E11" s="52"/>
      <c r="F11" s="52"/>
      <c r="G11" s="52"/>
    </row>
    <row r="12" spans="1:7" x14ac:dyDescent="0.25">
      <c r="A12" s="52"/>
      <c r="B12" s="52"/>
      <c r="C12" s="52"/>
      <c r="D12" s="52"/>
      <c r="E12" s="52"/>
      <c r="F12" s="52"/>
      <c r="G12" s="52"/>
    </row>
    <row r="13" spans="1:7" x14ac:dyDescent="0.25">
      <c r="A13" s="52"/>
      <c r="B13" s="52"/>
      <c r="C13" s="52"/>
      <c r="D13" s="52"/>
      <c r="E13" s="52"/>
      <c r="F13" s="52"/>
      <c r="G13" s="52"/>
    </row>
    <row r="14" spans="1:7" x14ac:dyDescent="0.25">
      <c r="A14" s="39"/>
      <c r="B14" s="39"/>
      <c r="C14" s="39"/>
      <c r="D14" s="39"/>
      <c r="E14" s="39"/>
      <c r="F14" s="39"/>
      <c r="G14" s="39"/>
    </row>
    <row r="15" spans="1:7" x14ac:dyDescent="0.25">
      <c r="A15" s="40" t="s">
        <v>2417</v>
      </c>
      <c r="B15" s="40"/>
      <c r="C15" s="40"/>
      <c r="D15" s="40"/>
      <c r="E15" s="40"/>
      <c r="F15" s="40"/>
      <c r="G15" s="40"/>
    </row>
    <row r="16" spans="1:7" x14ac:dyDescent="0.25">
      <c r="A16" s="57" t="s">
        <v>2424</v>
      </c>
      <c r="B16" s="57"/>
      <c r="C16" s="57"/>
      <c r="D16" s="57"/>
      <c r="E16" s="57"/>
      <c r="F16" s="57"/>
      <c r="G16" s="57"/>
    </row>
    <row r="17" spans="1:7" x14ac:dyDescent="0.25">
      <c r="A17" s="57"/>
      <c r="B17" s="57"/>
      <c r="C17" s="57"/>
      <c r="D17" s="57"/>
      <c r="E17" s="57"/>
      <c r="F17" s="57"/>
      <c r="G17" s="57"/>
    </row>
    <row r="18" spans="1:7" ht="15.95" customHeight="1" x14ac:dyDescent="0.25">
      <c r="A18" s="47"/>
      <c r="B18" s="47"/>
      <c r="C18" s="47"/>
      <c r="D18" s="47"/>
      <c r="E18" s="47"/>
      <c r="F18" s="47"/>
      <c r="G18" s="47"/>
    </row>
    <row r="19" spans="1:7" x14ac:dyDescent="0.25">
      <c r="A19" s="61" t="s">
        <v>2425</v>
      </c>
      <c r="B19" s="57"/>
      <c r="C19" s="57"/>
      <c r="D19" s="57"/>
      <c r="E19" s="57"/>
      <c r="F19" s="57"/>
      <c r="G19" s="57"/>
    </row>
    <row r="20" spans="1:7" x14ac:dyDescent="0.25">
      <c r="A20" s="57"/>
      <c r="B20" s="57"/>
      <c r="C20" s="57"/>
      <c r="D20" s="57"/>
      <c r="E20" s="57"/>
      <c r="F20" s="57"/>
      <c r="G20" s="57"/>
    </row>
    <row r="21" spans="1:7" x14ac:dyDescent="0.25">
      <c r="A21" s="57"/>
      <c r="B21" s="57"/>
      <c r="C21" s="57"/>
      <c r="D21" s="57"/>
      <c r="E21" s="57"/>
      <c r="F21" s="57"/>
      <c r="G21" s="57"/>
    </row>
    <row r="22" spans="1:7" x14ac:dyDescent="0.25">
      <c r="A22" s="57"/>
      <c r="B22" s="57"/>
      <c r="C22" s="57"/>
      <c r="D22" s="57"/>
      <c r="E22" s="57"/>
      <c r="F22" s="57"/>
      <c r="G22" s="57"/>
    </row>
    <row r="23" spans="1:7" x14ac:dyDescent="0.25">
      <c r="A23" s="57"/>
      <c r="B23" s="57"/>
      <c r="C23" s="57"/>
      <c r="D23" s="57"/>
      <c r="E23" s="57"/>
      <c r="F23" s="57"/>
      <c r="G23" s="57"/>
    </row>
    <row r="26" spans="1:7" x14ac:dyDescent="0.25">
      <c r="A26" s="48" t="s">
        <v>7</v>
      </c>
      <c r="B26" s="63" t="s">
        <v>2418</v>
      </c>
      <c r="C26" s="63"/>
      <c r="D26" s="63"/>
      <c r="E26" s="63"/>
      <c r="F26" s="63"/>
      <c r="G26" s="63"/>
    </row>
    <row r="27" spans="1:7" ht="15.95" customHeight="1" x14ac:dyDescent="0.25">
      <c r="A27" s="43" t="str">
        <f>IFERROR(MID(FORMULARIO!C16,FIND("(",FORMULARIO!C16)+1,FIND(")",FORMULARIO!C16)-(FIND("(",FORMULARIO!C16)+1)),"")</f>
        <v/>
      </c>
      <c r="B27" s="59">
        <f>IFERROR(LEFT(FORMULARIO!C16,FIND("(",FORMULARIO!C16)-2),FORMULARIO!C16)</f>
        <v>0</v>
      </c>
      <c r="C27" s="59"/>
      <c r="D27" s="59"/>
      <c r="E27" s="59"/>
      <c r="F27" s="59"/>
      <c r="G27" s="59"/>
    </row>
    <row r="30" spans="1:7" x14ac:dyDescent="0.25">
      <c r="A30" s="62" t="str">
        <f>"Contra la presente resolución se podrá interponer recurso de alzada ante el/la titular de la Dirección del Área Territorial de Madrid-"&amp;FORMULARIO!C31&amp;", en el plazo de un mes desde la notificación de la misma, en los términos previstos en los artículos 115, 121 y 122 de la Ley 39/2015, de 1 de octubre, del Procedimiento Administrativo Común de las Administraciones Públicas."</f>
        <v>Contra la presente resolución se podrá interponer recurso de alzada ante el/la titular de la Dirección del Área Territorial de Madrid-Este, en el plazo de un mes desde la notificación de la misma, en los términos previstos en los artículos 115, 121 y 122 de la Ley 39/2015, de 1 de octubre, del Procedimiento Administrativo Común de las Administraciones Públicas.</v>
      </c>
      <c r="B30" s="62"/>
      <c r="C30" s="62"/>
      <c r="D30" s="62"/>
      <c r="E30" s="62"/>
      <c r="F30" s="62"/>
      <c r="G30" s="62"/>
    </row>
    <row r="31" spans="1:7" x14ac:dyDescent="0.25">
      <c r="A31" s="62"/>
      <c r="B31" s="62"/>
      <c r="C31" s="62"/>
      <c r="D31" s="62"/>
      <c r="E31" s="62"/>
      <c r="F31" s="62"/>
      <c r="G31" s="62"/>
    </row>
    <row r="32" spans="1:7" x14ac:dyDescent="0.25">
      <c r="A32" s="62"/>
      <c r="B32" s="62"/>
      <c r="C32" s="62"/>
      <c r="D32" s="62"/>
      <c r="E32" s="62"/>
      <c r="F32" s="62"/>
      <c r="G32" s="62"/>
    </row>
    <row r="33" spans="1:7" x14ac:dyDescent="0.25">
      <c r="A33" s="62"/>
      <c r="B33" s="62"/>
      <c r="C33" s="62"/>
      <c r="D33" s="62"/>
      <c r="E33" s="62"/>
      <c r="F33" s="62"/>
      <c r="G33" s="62"/>
    </row>
    <row r="34" spans="1:7" x14ac:dyDescent="0.25">
      <c r="A34" s="62"/>
      <c r="B34" s="62"/>
      <c r="C34" s="62"/>
      <c r="D34" s="62"/>
      <c r="E34" s="62"/>
      <c r="F34" s="62"/>
      <c r="G34" s="62"/>
    </row>
    <row r="35" spans="1:7" ht="15.95" customHeight="1" x14ac:dyDescent="0.25">
      <c r="A35" s="62"/>
      <c r="B35" s="62"/>
      <c r="C35" s="62"/>
      <c r="D35" s="62"/>
      <c r="E35" s="62"/>
      <c r="F35" s="62"/>
      <c r="G35" s="62"/>
    </row>
    <row r="36" spans="1:7" x14ac:dyDescent="0.25">
      <c r="A36" s="62"/>
      <c r="B36" s="62"/>
      <c r="C36" s="62"/>
      <c r="D36" s="62"/>
      <c r="E36" s="62"/>
      <c r="F36" s="62"/>
      <c r="G36" s="62"/>
    </row>
    <row r="37" spans="1:7" x14ac:dyDescent="0.25">
      <c r="A37" s="49"/>
      <c r="B37" s="49"/>
      <c r="C37" s="49"/>
      <c r="D37" s="49"/>
      <c r="E37" s="49"/>
      <c r="F37" s="49"/>
      <c r="G37" s="49"/>
    </row>
    <row r="38" spans="1:7" x14ac:dyDescent="0.25">
      <c r="A38" s="49"/>
      <c r="B38" s="49"/>
      <c r="C38" s="49"/>
      <c r="D38" s="49"/>
      <c r="E38" s="49"/>
      <c r="F38" s="49"/>
      <c r="G38" s="49"/>
    </row>
    <row r="39" spans="1:7" x14ac:dyDescent="0.25">
      <c r="A39" s="49"/>
      <c r="B39" s="49"/>
      <c r="C39" s="49"/>
      <c r="D39" s="49"/>
      <c r="E39" s="49"/>
      <c r="F39" s="49"/>
      <c r="G39" s="49"/>
    </row>
    <row r="40" spans="1:7" x14ac:dyDescent="0.25">
      <c r="A40" s="44"/>
      <c r="B40" s="44"/>
      <c r="C40" s="44"/>
      <c r="D40" s="44"/>
      <c r="E40" s="44"/>
      <c r="F40" s="44"/>
      <c r="G40" s="44"/>
    </row>
    <row r="41" spans="1:7" x14ac:dyDescent="0.25">
      <c r="A41" s="55" t="s">
        <v>2422</v>
      </c>
      <c r="B41" s="55"/>
      <c r="C41" s="55"/>
      <c r="D41" s="55"/>
      <c r="E41" s="56">
        <f ca="1">FORMULARIO!$C$30</f>
        <v>45483</v>
      </c>
      <c r="F41" s="56"/>
      <c r="G41" s="56"/>
    </row>
    <row r="46" spans="1:7" x14ac:dyDescent="0.25">
      <c r="A46" s="53" t="str">
        <f>"Fdo.: "&amp;FORMULARIO!$C$28</f>
        <v>Fdo.: Arturo Toledo Santos</v>
      </c>
      <c r="B46" s="53"/>
      <c r="C46" s="53"/>
      <c r="D46" s="53"/>
      <c r="E46" s="53"/>
      <c r="F46" s="53"/>
      <c r="G46" s="53"/>
    </row>
    <row r="48" spans="1:7" x14ac:dyDescent="0.25">
      <c r="A48" s="46" t="str">
        <f>"Curso: "&amp;FORMULARIO!$C$32&amp;" - "&amp;FORMULARIO!$C$10&amp;" - "&amp;FORMULARIO!$C$8</f>
        <v xml:space="preserve">Curso: 2024-2025 -  - </v>
      </c>
    </row>
  </sheetData>
  <sheetProtection algorithmName="SHA-512" hashValue="UTSySaJuwRPZAbg40RenOSxwkwwy7jrD7uElZJOtFqsIa27RjoAMTen2EDyK88Kb7kb0kvkTMa6PyAeHRE18Hw==" saltValue="SSTx4oJv/k7UqfXXoYmSXg==" spinCount="100000" sheet="1" objects="1" scenarios="1"/>
  <mergeCells count="12">
    <mergeCell ref="A1:G1"/>
    <mergeCell ref="A2:G4"/>
    <mergeCell ref="A5:G8"/>
    <mergeCell ref="A9:G13"/>
    <mergeCell ref="A16:G17"/>
    <mergeCell ref="B27:G27"/>
    <mergeCell ref="A19:G23"/>
    <mergeCell ref="A46:G46"/>
    <mergeCell ref="A30:G36"/>
    <mergeCell ref="B26:G26"/>
    <mergeCell ref="A41:D41"/>
    <mergeCell ref="E41:G41"/>
  </mergeCells>
  <pageMargins left="0.7" right="0.7" top="0.75" bottom="0.75" header="0.3" footer="0.3"/>
  <pageSetup paperSize="9" orientation="portrait" r:id="rId1"/>
  <ignoredErrors>
    <ignoredError sqref="A5 A9 A27:B27 A30 E41 A46 A48"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G35"/>
  <sheetViews>
    <sheetView workbookViewId="0">
      <selection sqref="A1:G1"/>
    </sheetView>
  </sheetViews>
  <sheetFormatPr baseColWidth="10" defaultColWidth="10.85546875" defaultRowHeight="15.75" x14ac:dyDescent="0.25"/>
  <cols>
    <col min="1" max="7" width="12.42578125" style="45" customWidth="1"/>
    <col min="8" max="16384" width="10.85546875" style="45"/>
  </cols>
  <sheetData>
    <row r="1" spans="1:7" x14ac:dyDescent="0.25">
      <c r="A1" s="51" t="s">
        <v>2429</v>
      </c>
      <c r="B1" s="51"/>
      <c r="C1" s="51"/>
      <c r="D1" s="51"/>
      <c r="E1" s="51"/>
      <c r="F1" s="51"/>
      <c r="G1" s="51"/>
    </row>
    <row r="2" spans="1:7" x14ac:dyDescent="0.25">
      <c r="A2" s="64"/>
      <c r="B2" s="64"/>
      <c r="C2" s="64"/>
      <c r="D2" s="64"/>
      <c r="E2" s="64"/>
      <c r="F2" s="64"/>
      <c r="G2" s="64"/>
    </row>
    <row r="3" spans="1:7" x14ac:dyDescent="0.25">
      <c r="A3" s="64"/>
      <c r="B3" s="64"/>
      <c r="C3" s="64"/>
      <c r="D3" s="64"/>
      <c r="E3" s="64"/>
      <c r="F3" s="64"/>
      <c r="G3" s="64"/>
    </row>
    <row r="4" spans="1:7" ht="15.95" customHeight="1" x14ac:dyDescent="0.25">
      <c r="A4" s="65" t="str">
        <f>"D./D.ª " &amp;FORMULARIO!$C$8&amp;", con DNI/NIE: "&amp;FORMULARIO!$C$9&amp;", por la presente declaro haber recibido la resolución de solicitud de convalidación de módulos profesionales incluidos en el real decreto de título por la que se acuerda "&amp;FORMULARIO!$C$21&amp;" la solicitud de convalidación del módulo profesional "&amp; FORMULARIO!$C$16&amp;", perteneciente al ciclo formativo "&amp;FORMULARIO!$C$13&amp;" de grado "&amp;FORMULARIO!$C$12&amp;"."</f>
        <v>D./D.ª , con DNI/NIE: , por la presente declaro haber recibido la resolución de solicitud de convalidación de módulos profesionales incluidos en el real decreto de título por la que se acuerda DESESTIMAR la solicitud de convalidación del módulo profesional , perteneciente al ciclo formativo  de grado .</v>
      </c>
      <c r="B4" s="65"/>
      <c r="C4" s="65"/>
      <c r="D4" s="65"/>
      <c r="E4" s="65"/>
      <c r="F4" s="65"/>
      <c r="G4" s="65"/>
    </row>
    <row r="5" spans="1:7" ht="15.95" customHeight="1" x14ac:dyDescent="0.25">
      <c r="A5" s="65"/>
      <c r="B5" s="65"/>
      <c r="C5" s="65"/>
      <c r="D5" s="65"/>
      <c r="E5" s="65"/>
      <c r="F5" s="65"/>
      <c r="G5" s="65"/>
    </row>
    <row r="6" spans="1:7" x14ac:dyDescent="0.25">
      <c r="A6" s="65"/>
      <c r="B6" s="65"/>
      <c r="C6" s="65"/>
      <c r="D6" s="65"/>
      <c r="E6" s="65"/>
      <c r="F6" s="65"/>
      <c r="G6" s="65"/>
    </row>
    <row r="7" spans="1:7" x14ac:dyDescent="0.25">
      <c r="A7" s="65"/>
      <c r="B7" s="65"/>
      <c r="C7" s="65"/>
      <c r="D7" s="65"/>
      <c r="E7" s="65"/>
      <c r="F7" s="65"/>
      <c r="G7" s="65"/>
    </row>
    <row r="8" spans="1:7" x14ac:dyDescent="0.25">
      <c r="A8" s="65"/>
      <c r="B8" s="65"/>
      <c r="C8" s="65"/>
      <c r="D8" s="65"/>
      <c r="E8" s="65"/>
      <c r="F8" s="65"/>
      <c r="G8" s="65"/>
    </row>
    <row r="9" spans="1:7" x14ac:dyDescent="0.25">
      <c r="A9" s="39"/>
      <c r="B9" s="39"/>
      <c r="C9" s="39"/>
      <c r="D9" s="39"/>
      <c r="E9" s="39"/>
      <c r="F9" s="39"/>
      <c r="G9" s="39"/>
    </row>
    <row r="10" spans="1:7" x14ac:dyDescent="0.25">
      <c r="A10" s="66" t="str">
        <f>IF(FORMULARIO!$C$21="ESTIMAR","Así mismo, declaro mi conformidad con la resolución y solicito se proceda a adjuntar dicha resolución junto con la documentación del expediente de solicitud a mi expediente académico.",IF(FORMULARIO!$C$21="DESESTIMAR","Así mismo, declaro estar informado/a de que contra la presente resolución se podrá interponer recurso de alzada ante el/la titular de la Dirección del Área Territorial de Madrid-"&amp;FORMULARIO!$C$31&amp;", en el plazo de un mes desde la notificación de la misma, en los términos previstos en los artículos 115, 121 y 122 de la Ley 39/2015, de 1 de octubre, del Procedimiento Administrativo Común de las Administraciones Públicas.","ERROR. REVISAR FORMULARIO"))</f>
        <v>Así mismo, declaro estar informado/a de que contra la presente resolución se podrá interponer recurso de alzada ante el/la titular de la Dirección del Área Territorial de Madrid-Este, en el plazo de un mes desde la notificación de la misma, en los términos previstos en los artículos 115, 121 y 122 de la Ley 39/2015, de 1 de octubre, del Procedimiento Administrativo Común de las Administraciones Públicas.</v>
      </c>
      <c r="B10" s="65"/>
      <c r="C10" s="65"/>
      <c r="D10" s="65"/>
      <c r="E10" s="65"/>
      <c r="F10" s="65"/>
      <c r="G10" s="65"/>
    </row>
    <row r="11" spans="1:7" x14ac:dyDescent="0.25">
      <c r="A11" s="65"/>
      <c r="B11" s="65"/>
      <c r="C11" s="65"/>
      <c r="D11" s="65"/>
      <c r="E11" s="65"/>
      <c r="F11" s="65"/>
      <c r="G11" s="65"/>
    </row>
    <row r="12" spans="1:7" x14ac:dyDescent="0.25">
      <c r="A12" s="65"/>
      <c r="B12" s="65"/>
      <c r="C12" s="65"/>
      <c r="D12" s="65"/>
      <c r="E12" s="65"/>
      <c r="F12" s="65"/>
      <c r="G12" s="65"/>
    </row>
    <row r="13" spans="1:7" x14ac:dyDescent="0.25">
      <c r="A13" s="65"/>
      <c r="B13" s="65"/>
      <c r="C13" s="65"/>
      <c r="D13" s="65"/>
      <c r="E13" s="65"/>
      <c r="F13" s="65"/>
      <c r="G13" s="65"/>
    </row>
    <row r="14" spans="1:7" x14ac:dyDescent="0.25">
      <c r="A14" s="65"/>
      <c r="B14" s="65"/>
      <c r="C14" s="65"/>
      <c r="D14" s="65"/>
      <c r="E14" s="65"/>
      <c r="F14" s="65"/>
      <c r="G14" s="65"/>
    </row>
    <row r="15" spans="1:7" x14ac:dyDescent="0.25">
      <c r="A15" s="49"/>
      <c r="B15" s="49"/>
      <c r="C15" s="49"/>
      <c r="D15" s="49"/>
      <c r="E15" s="49"/>
      <c r="F15" s="49"/>
      <c r="G15" s="49"/>
    </row>
    <row r="17" spans="1:7" x14ac:dyDescent="0.25">
      <c r="A17" s="55" t="s">
        <v>2422</v>
      </c>
      <c r="B17" s="55"/>
      <c r="C17" s="55"/>
      <c r="D17" s="55"/>
      <c r="E17" s="56"/>
      <c r="F17" s="56"/>
      <c r="G17" s="56"/>
    </row>
    <row r="22" spans="1:7" ht="15.95" customHeight="1" x14ac:dyDescent="0.25">
      <c r="A22" s="53" t="str">
        <f>"Fdo.: "&amp;FORMULARIO!$C$8</f>
        <v xml:space="preserve">Fdo.: </v>
      </c>
      <c r="B22" s="53"/>
      <c r="C22" s="53"/>
      <c r="D22" s="53"/>
      <c r="E22" s="53"/>
      <c r="F22" s="53"/>
      <c r="G22" s="53"/>
    </row>
    <row r="24" spans="1:7" x14ac:dyDescent="0.25">
      <c r="A24" s="49"/>
      <c r="B24" s="49"/>
      <c r="C24" s="49"/>
      <c r="D24" s="49"/>
      <c r="E24" s="49"/>
      <c r="F24" s="49"/>
      <c r="G24" s="49"/>
    </row>
    <row r="25" spans="1:7" x14ac:dyDescent="0.25">
      <c r="A25" s="49"/>
      <c r="B25" s="49"/>
      <c r="C25" s="49"/>
      <c r="D25" s="49"/>
      <c r="E25" s="49"/>
      <c r="F25" s="49"/>
      <c r="G25" s="49"/>
    </row>
    <row r="26" spans="1:7" x14ac:dyDescent="0.25">
      <c r="A26" s="49"/>
      <c r="B26" s="49"/>
      <c r="C26" s="49"/>
      <c r="D26" s="49"/>
      <c r="E26" s="49"/>
      <c r="F26" s="49"/>
      <c r="G26" s="49"/>
    </row>
    <row r="27" spans="1:7" x14ac:dyDescent="0.25">
      <c r="A27" s="44"/>
      <c r="B27" s="44"/>
      <c r="C27" s="44"/>
      <c r="D27" s="44"/>
      <c r="E27" s="44"/>
      <c r="F27" s="44"/>
      <c r="G27" s="44"/>
    </row>
    <row r="35" spans="1:1" x14ac:dyDescent="0.25">
      <c r="A35" s="46" t="str">
        <f>"Curso: "&amp;FORMULARIO!$C$32&amp;" - "&amp;FORMULARIO!$C$10&amp;" - "&amp;FORMULARIO!$C$8</f>
        <v xml:space="preserve">Curso: 2024-2025 -  - </v>
      </c>
    </row>
  </sheetData>
  <sheetProtection algorithmName="SHA-512" hashValue="xdzCbGlqZrNPbfwVQtqe7crfI3xAq0zRuGFMsqmgp2fRYizXTZ9UHT2O/TiRGmVu8yHSxAwn7wDUBtFLoXfahA==" saltValue="yHkt0FgFHkyZuxY6lQs2Pg==" spinCount="100000" sheet="1" objects="1" scenarios="1"/>
  <mergeCells count="7">
    <mergeCell ref="A17:D17"/>
    <mergeCell ref="E17:G17"/>
    <mergeCell ref="A22:G22"/>
    <mergeCell ref="A1:G1"/>
    <mergeCell ref="A2:G3"/>
    <mergeCell ref="A4:G8"/>
    <mergeCell ref="A10:G14"/>
  </mergeCells>
  <pageMargins left="0.7" right="0.7" top="0.75" bottom="0.75" header="0.3" footer="0.3"/>
  <pageSetup paperSize="9" orientation="portrait" r:id="rId1"/>
  <ignoredErrors>
    <ignoredError sqref="A4 A10 A22 A35"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158"/>
  <sheetViews>
    <sheetView workbookViewId="0"/>
  </sheetViews>
  <sheetFormatPr baseColWidth="10" defaultRowHeight="15" x14ac:dyDescent="0.25"/>
  <cols>
    <col min="1" max="1" width="15.140625" bestFit="1" customWidth="1"/>
    <col min="2" max="2" width="14" bestFit="1" customWidth="1"/>
    <col min="3" max="3" width="102.85546875" bestFit="1" customWidth="1"/>
  </cols>
  <sheetData>
    <row r="1" spans="1:3" x14ac:dyDescent="0.25">
      <c r="A1" s="28" t="s">
        <v>10</v>
      </c>
      <c r="B1" s="28" t="s">
        <v>11</v>
      </c>
      <c r="C1" s="28" t="s">
        <v>12</v>
      </c>
    </row>
    <row r="2" spans="1:3" x14ac:dyDescent="0.25">
      <c r="A2" t="s">
        <v>13</v>
      </c>
      <c r="B2" t="s">
        <v>4035</v>
      </c>
      <c r="C2" t="s">
        <v>5323</v>
      </c>
    </row>
    <row r="3" spans="1:3" x14ac:dyDescent="0.25">
      <c r="A3" t="s">
        <v>14</v>
      </c>
      <c r="B3" t="s">
        <v>4036</v>
      </c>
      <c r="C3" t="s">
        <v>5324</v>
      </c>
    </row>
    <row r="4" spans="1:3" x14ac:dyDescent="0.25">
      <c r="A4" t="s">
        <v>4022</v>
      </c>
      <c r="B4" t="s">
        <v>4037</v>
      </c>
      <c r="C4" t="s">
        <v>5325</v>
      </c>
    </row>
    <row r="5" spans="1:3" x14ac:dyDescent="0.25">
      <c r="A5" t="s">
        <v>4023</v>
      </c>
      <c r="B5" t="s">
        <v>4038</v>
      </c>
      <c r="C5" t="s">
        <v>5326</v>
      </c>
    </row>
    <row r="6" spans="1:3" x14ac:dyDescent="0.25">
      <c r="A6" t="s">
        <v>4024</v>
      </c>
      <c r="B6" t="s">
        <v>4039</v>
      </c>
      <c r="C6" t="s">
        <v>5327</v>
      </c>
    </row>
    <row r="7" spans="1:3" x14ac:dyDescent="0.25">
      <c r="A7" t="s">
        <v>4025</v>
      </c>
      <c r="B7" t="s">
        <v>4040</v>
      </c>
      <c r="C7" t="s">
        <v>5328</v>
      </c>
    </row>
    <row r="8" spans="1:3" x14ac:dyDescent="0.25">
      <c r="A8" t="s">
        <v>4026</v>
      </c>
      <c r="B8" t="s">
        <v>4041</v>
      </c>
      <c r="C8" t="s">
        <v>5329</v>
      </c>
    </row>
    <row r="9" spans="1:3" x14ac:dyDescent="0.25">
      <c r="A9" t="s">
        <v>4027</v>
      </c>
      <c r="B9" t="s">
        <v>4042</v>
      </c>
      <c r="C9" t="s">
        <v>5330</v>
      </c>
    </row>
    <row r="10" spans="1:3" x14ac:dyDescent="0.25">
      <c r="A10" t="s">
        <v>4028</v>
      </c>
      <c r="B10" t="s">
        <v>4043</v>
      </c>
      <c r="C10" t="s">
        <v>5331</v>
      </c>
    </row>
    <row r="11" spans="1:3" x14ac:dyDescent="0.25">
      <c r="A11" t="s">
        <v>15</v>
      </c>
      <c r="B11" t="s">
        <v>4044</v>
      </c>
      <c r="C11" t="s">
        <v>5332</v>
      </c>
    </row>
    <row r="12" spans="1:3" x14ac:dyDescent="0.25">
      <c r="A12" t="s">
        <v>16</v>
      </c>
      <c r="B12" t="s">
        <v>4045</v>
      </c>
      <c r="C12" t="s">
        <v>5333</v>
      </c>
    </row>
    <row r="13" spans="1:3" x14ac:dyDescent="0.25">
      <c r="A13" t="s">
        <v>17</v>
      </c>
      <c r="B13" t="s">
        <v>4046</v>
      </c>
      <c r="C13" t="s">
        <v>5334</v>
      </c>
    </row>
    <row r="14" spans="1:3" x14ac:dyDescent="0.25">
      <c r="A14" t="s">
        <v>18</v>
      </c>
      <c r="B14" t="s">
        <v>4047</v>
      </c>
      <c r="C14" t="s">
        <v>5335</v>
      </c>
    </row>
    <row r="15" spans="1:3" x14ac:dyDescent="0.25">
      <c r="A15" t="s">
        <v>19</v>
      </c>
      <c r="B15" t="s">
        <v>4048</v>
      </c>
      <c r="C15" t="s">
        <v>5336</v>
      </c>
    </row>
    <row r="16" spans="1:3" x14ac:dyDescent="0.25">
      <c r="A16" t="s">
        <v>4029</v>
      </c>
      <c r="B16" t="s">
        <v>4049</v>
      </c>
      <c r="C16" t="s">
        <v>5337</v>
      </c>
    </row>
    <row r="17" spans="1:3" x14ac:dyDescent="0.25">
      <c r="A17" t="s">
        <v>20</v>
      </c>
      <c r="B17" t="s">
        <v>4050</v>
      </c>
      <c r="C17" t="s">
        <v>5338</v>
      </c>
    </row>
    <row r="18" spans="1:3" x14ac:dyDescent="0.25">
      <c r="A18" t="s">
        <v>21</v>
      </c>
      <c r="B18" t="s">
        <v>4051</v>
      </c>
      <c r="C18" t="s">
        <v>5339</v>
      </c>
    </row>
    <row r="19" spans="1:3" x14ac:dyDescent="0.25">
      <c r="A19" t="s">
        <v>22</v>
      </c>
      <c r="B19" t="s">
        <v>4052</v>
      </c>
      <c r="C19" t="s">
        <v>5340</v>
      </c>
    </row>
    <row r="20" spans="1:3" x14ac:dyDescent="0.25">
      <c r="A20" t="s">
        <v>23</v>
      </c>
      <c r="B20" t="s">
        <v>4053</v>
      </c>
      <c r="C20" t="s">
        <v>5341</v>
      </c>
    </row>
    <row r="21" spans="1:3" x14ac:dyDescent="0.25">
      <c r="A21" t="s">
        <v>24</v>
      </c>
      <c r="B21" t="s">
        <v>4054</v>
      </c>
      <c r="C21" t="s">
        <v>5342</v>
      </c>
    </row>
    <row r="22" spans="1:3" x14ac:dyDescent="0.25">
      <c r="A22" t="s">
        <v>4030</v>
      </c>
      <c r="B22" t="s">
        <v>4055</v>
      </c>
      <c r="C22" t="s">
        <v>5343</v>
      </c>
    </row>
    <row r="23" spans="1:3" x14ac:dyDescent="0.25">
      <c r="A23" t="s">
        <v>25</v>
      </c>
      <c r="B23" t="s">
        <v>4056</v>
      </c>
      <c r="C23" t="s">
        <v>5344</v>
      </c>
    </row>
    <row r="24" spans="1:3" x14ac:dyDescent="0.25">
      <c r="A24" t="s">
        <v>26</v>
      </c>
      <c r="B24" t="s">
        <v>4057</v>
      </c>
      <c r="C24" t="s">
        <v>5345</v>
      </c>
    </row>
    <row r="25" spans="1:3" x14ac:dyDescent="0.25">
      <c r="A25" t="s">
        <v>4031</v>
      </c>
      <c r="B25" t="s">
        <v>4058</v>
      </c>
      <c r="C25" t="s">
        <v>5346</v>
      </c>
    </row>
    <row r="26" spans="1:3" x14ac:dyDescent="0.25">
      <c r="A26" t="s">
        <v>27</v>
      </c>
      <c r="B26" t="s">
        <v>4059</v>
      </c>
      <c r="C26" t="s">
        <v>5347</v>
      </c>
    </row>
    <row r="27" spans="1:3" x14ac:dyDescent="0.25">
      <c r="A27" t="s">
        <v>28</v>
      </c>
      <c r="B27" t="s">
        <v>4060</v>
      </c>
      <c r="C27" t="s">
        <v>5348</v>
      </c>
    </row>
    <row r="28" spans="1:3" x14ac:dyDescent="0.25">
      <c r="A28" t="s">
        <v>29</v>
      </c>
      <c r="B28" t="s">
        <v>4061</v>
      </c>
      <c r="C28" t="s">
        <v>5349</v>
      </c>
    </row>
    <row r="29" spans="1:3" x14ac:dyDescent="0.25">
      <c r="A29" t="s">
        <v>4032</v>
      </c>
      <c r="B29" t="s">
        <v>4062</v>
      </c>
      <c r="C29" t="s">
        <v>5350</v>
      </c>
    </row>
    <row r="30" spans="1:3" x14ac:dyDescent="0.25">
      <c r="A30" t="s">
        <v>30</v>
      </c>
      <c r="B30" t="s">
        <v>4063</v>
      </c>
      <c r="C30" t="s">
        <v>5351</v>
      </c>
    </row>
    <row r="31" spans="1:3" x14ac:dyDescent="0.25">
      <c r="A31" t="s">
        <v>31</v>
      </c>
      <c r="B31" t="s">
        <v>4064</v>
      </c>
      <c r="C31" t="s">
        <v>5352</v>
      </c>
    </row>
    <row r="32" spans="1:3" x14ac:dyDescent="0.25">
      <c r="A32" t="s">
        <v>32</v>
      </c>
      <c r="B32" t="s">
        <v>4065</v>
      </c>
      <c r="C32" t="s">
        <v>5353</v>
      </c>
    </row>
    <row r="33" spans="1:3" x14ac:dyDescent="0.25">
      <c r="A33" t="s">
        <v>33</v>
      </c>
      <c r="B33" t="s">
        <v>4066</v>
      </c>
      <c r="C33" t="s">
        <v>5354</v>
      </c>
    </row>
    <row r="34" spans="1:3" x14ac:dyDescent="0.25">
      <c r="A34" t="s">
        <v>34</v>
      </c>
      <c r="B34" t="s">
        <v>4067</v>
      </c>
      <c r="C34" t="s">
        <v>5355</v>
      </c>
    </row>
    <row r="35" spans="1:3" x14ac:dyDescent="0.25">
      <c r="A35" t="s">
        <v>35</v>
      </c>
      <c r="B35" t="s">
        <v>4068</v>
      </c>
      <c r="C35" t="s">
        <v>5356</v>
      </c>
    </row>
    <row r="36" spans="1:3" x14ac:dyDescent="0.25">
      <c r="A36" t="s">
        <v>36</v>
      </c>
      <c r="B36" t="s">
        <v>4069</v>
      </c>
      <c r="C36" t="s">
        <v>5357</v>
      </c>
    </row>
    <row r="37" spans="1:3" x14ac:dyDescent="0.25">
      <c r="A37" t="s">
        <v>37</v>
      </c>
      <c r="B37" t="s">
        <v>4070</v>
      </c>
      <c r="C37" t="s">
        <v>5358</v>
      </c>
    </row>
    <row r="38" spans="1:3" x14ac:dyDescent="0.25">
      <c r="A38" t="s">
        <v>38</v>
      </c>
      <c r="B38" t="s">
        <v>4071</v>
      </c>
      <c r="C38" t="s">
        <v>5359</v>
      </c>
    </row>
    <row r="39" spans="1:3" x14ac:dyDescent="0.25">
      <c r="A39" t="s">
        <v>39</v>
      </c>
      <c r="B39" t="s">
        <v>4072</v>
      </c>
      <c r="C39" t="s">
        <v>5360</v>
      </c>
    </row>
    <row r="40" spans="1:3" x14ac:dyDescent="0.25">
      <c r="A40" t="s">
        <v>4033</v>
      </c>
      <c r="B40" t="s">
        <v>4073</v>
      </c>
      <c r="C40" t="s">
        <v>5361</v>
      </c>
    </row>
    <row r="41" spans="1:3" x14ac:dyDescent="0.25">
      <c r="A41" t="s">
        <v>4034</v>
      </c>
      <c r="B41" t="s">
        <v>4074</v>
      </c>
      <c r="C41" t="s">
        <v>5362</v>
      </c>
    </row>
    <row r="42" spans="1:3" x14ac:dyDescent="0.25">
      <c r="A42" t="s">
        <v>40</v>
      </c>
      <c r="B42" t="s">
        <v>4075</v>
      </c>
      <c r="C42" t="s">
        <v>5363</v>
      </c>
    </row>
    <row r="43" spans="1:3" x14ac:dyDescent="0.25">
      <c r="A43" t="s">
        <v>41</v>
      </c>
      <c r="B43" t="s">
        <v>4076</v>
      </c>
      <c r="C43" t="s">
        <v>5364</v>
      </c>
    </row>
    <row r="44" spans="1:3" x14ac:dyDescent="0.25">
      <c r="A44" t="s">
        <v>42</v>
      </c>
      <c r="B44" t="s">
        <v>4077</v>
      </c>
      <c r="C44" t="s">
        <v>5365</v>
      </c>
    </row>
    <row r="45" spans="1:3" x14ac:dyDescent="0.25">
      <c r="A45" t="s">
        <v>43</v>
      </c>
      <c r="B45" t="s">
        <v>4078</v>
      </c>
      <c r="C45" t="s">
        <v>5366</v>
      </c>
    </row>
    <row r="46" spans="1:3" x14ac:dyDescent="0.25">
      <c r="A46" t="s">
        <v>44</v>
      </c>
      <c r="B46" t="s">
        <v>4079</v>
      </c>
      <c r="C46" t="s">
        <v>5367</v>
      </c>
    </row>
    <row r="47" spans="1:3" x14ac:dyDescent="0.25">
      <c r="A47" t="s">
        <v>45</v>
      </c>
      <c r="B47" t="s">
        <v>4080</v>
      </c>
      <c r="C47" t="s">
        <v>5368</v>
      </c>
    </row>
    <row r="48" spans="1:3" x14ac:dyDescent="0.25">
      <c r="A48" t="s">
        <v>46</v>
      </c>
      <c r="B48" t="s">
        <v>5272</v>
      </c>
      <c r="C48" t="s">
        <v>5369</v>
      </c>
    </row>
    <row r="49" spans="1:3" x14ac:dyDescent="0.25">
      <c r="A49" t="s">
        <v>47</v>
      </c>
      <c r="B49" t="s">
        <v>5273</v>
      </c>
      <c r="C49" t="s">
        <v>5370</v>
      </c>
    </row>
    <row r="50" spans="1:3" x14ac:dyDescent="0.25">
      <c r="A50" t="s">
        <v>48</v>
      </c>
      <c r="B50" t="s">
        <v>5274</v>
      </c>
      <c r="C50" t="s">
        <v>5371</v>
      </c>
    </row>
    <row r="51" spans="1:3" x14ac:dyDescent="0.25">
      <c r="A51" t="s">
        <v>49</v>
      </c>
      <c r="B51" t="s">
        <v>5275</v>
      </c>
      <c r="C51" t="s">
        <v>5372</v>
      </c>
    </row>
    <row r="52" spans="1:3" x14ac:dyDescent="0.25">
      <c r="A52" t="s">
        <v>50</v>
      </c>
      <c r="B52" t="s">
        <v>5276</v>
      </c>
      <c r="C52" t="s">
        <v>5373</v>
      </c>
    </row>
    <row r="53" spans="1:3" x14ac:dyDescent="0.25">
      <c r="A53" t="s">
        <v>51</v>
      </c>
      <c r="B53" t="s">
        <v>5277</v>
      </c>
      <c r="C53" t="s">
        <v>5374</v>
      </c>
    </row>
    <row r="54" spans="1:3" x14ac:dyDescent="0.25">
      <c r="A54" t="s">
        <v>52</v>
      </c>
      <c r="B54" t="s">
        <v>5278</v>
      </c>
      <c r="C54" t="s">
        <v>5375</v>
      </c>
    </row>
    <row r="55" spans="1:3" x14ac:dyDescent="0.25">
      <c r="A55" t="s">
        <v>53</v>
      </c>
      <c r="B55" t="s">
        <v>5279</v>
      </c>
      <c r="C55" t="s">
        <v>5376</v>
      </c>
    </row>
    <row r="56" spans="1:3" x14ac:dyDescent="0.25">
      <c r="A56" t="s">
        <v>54</v>
      </c>
      <c r="B56" t="s">
        <v>5280</v>
      </c>
      <c r="C56" t="s">
        <v>5377</v>
      </c>
    </row>
    <row r="57" spans="1:3" x14ac:dyDescent="0.25">
      <c r="A57" t="s">
        <v>55</v>
      </c>
      <c r="B57" t="s">
        <v>5281</v>
      </c>
      <c r="C57" t="s">
        <v>5378</v>
      </c>
    </row>
    <row r="58" spans="1:3" x14ac:dyDescent="0.25">
      <c r="A58" t="s">
        <v>56</v>
      </c>
      <c r="B58" t="s">
        <v>5282</v>
      </c>
      <c r="C58" t="s">
        <v>5379</v>
      </c>
    </row>
    <row r="59" spans="1:3" x14ac:dyDescent="0.25">
      <c r="A59" t="s">
        <v>57</v>
      </c>
      <c r="B59" t="s">
        <v>5283</v>
      </c>
      <c r="C59" t="s">
        <v>5380</v>
      </c>
    </row>
    <row r="60" spans="1:3" x14ac:dyDescent="0.25">
      <c r="A60" t="s">
        <v>58</v>
      </c>
      <c r="B60" t="s">
        <v>5482</v>
      </c>
      <c r="C60" t="s">
        <v>5381</v>
      </c>
    </row>
    <row r="61" spans="1:3" x14ac:dyDescent="0.25">
      <c r="A61" t="s">
        <v>59</v>
      </c>
      <c r="B61" t="s">
        <v>5483</v>
      </c>
      <c r="C61" t="s">
        <v>5382</v>
      </c>
    </row>
    <row r="62" spans="1:3" x14ac:dyDescent="0.25">
      <c r="A62" t="s">
        <v>60</v>
      </c>
      <c r="B62" t="s">
        <v>5484</v>
      </c>
      <c r="C62" t="s">
        <v>5383</v>
      </c>
    </row>
    <row r="63" spans="1:3" x14ac:dyDescent="0.25">
      <c r="A63" t="s">
        <v>61</v>
      </c>
      <c r="B63" t="s">
        <v>5485</v>
      </c>
      <c r="C63" t="s">
        <v>5384</v>
      </c>
    </row>
    <row r="64" spans="1:3" x14ac:dyDescent="0.25">
      <c r="A64" t="s">
        <v>62</v>
      </c>
      <c r="B64" t="s">
        <v>5486</v>
      </c>
      <c r="C64" t="s">
        <v>5385</v>
      </c>
    </row>
    <row r="65" spans="1:3" x14ac:dyDescent="0.25">
      <c r="A65" t="s">
        <v>63</v>
      </c>
      <c r="B65" t="s">
        <v>5487</v>
      </c>
      <c r="C65" t="s">
        <v>5386</v>
      </c>
    </row>
    <row r="66" spans="1:3" x14ac:dyDescent="0.25">
      <c r="A66" t="s">
        <v>64</v>
      </c>
      <c r="B66" t="s">
        <v>5488</v>
      </c>
      <c r="C66" t="s">
        <v>5387</v>
      </c>
    </row>
    <row r="67" spans="1:3" x14ac:dyDescent="0.25">
      <c r="A67" t="s">
        <v>65</v>
      </c>
      <c r="B67" t="s">
        <v>5489</v>
      </c>
      <c r="C67" t="s">
        <v>5388</v>
      </c>
    </row>
    <row r="68" spans="1:3" x14ac:dyDescent="0.25">
      <c r="A68" t="s">
        <v>66</v>
      </c>
      <c r="B68" t="s">
        <v>5490</v>
      </c>
      <c r="C68" t="s">
        <v>5389</v>
      </c>
    </row>
    <row r="69" spans="1:3" x14ac:dyDescent="0.25">
      <c r="A69" t="s">
        <v>67</v>
      </c>
      <c r="B69" t="s">
        <v>5491</v>
      </c>
      <c r="C69" t="s">
        <v>5390</v>
      </c>
    </row>
    <row r="70" spans="1:3" x14ac:dyDescent="0.25">
      <c r="A70" t="s">
        <v>68</v>
      </c>
      <c r="B70" t="s">
        <v>5492</v>
      </c>
      <c r="C70" t="s">
        <v>5391</v>
      </c>
    </row>
    <row r="71" spans="1:3" x14ac:dyDescent="0.25">
      <c r="A71" t="s">
        <v>69</v>
      </c>
      <c r="B71" t="s">
        <v>5493</v>
      </c>
      <c r="C71" t="s">
        <v>5392</v>
      </c>
    </row>
    <row r="72" spans="1:3" x14ac:dyDescent="0.25">
      <c r="A72" t="s">
        <v>70</v>
      </c>
      <c r="B72" t="s">
        <v>5494</v>
      </c>
      <c r="C72" t="s">
        <v>5393</v>
      </c>
    </row>
    <row r="73" spans="1:3" x14ac:dyDescent="0.25">
      <c r="A73" t="s">
        <v>71</v>
      </c>
      <c r="B73" t="s">
        <v>5495</v>
      </c>
      <c r="C73" t="s">
        <v>5394</v>
      </c>
    </row>
    <row r="74" spans="1:3" x14ac:dyDescent="0.25">
      <c r="A74" t="s">
        <v>72</v>
      </c>
      <c r="B74" t="s">
        <v>5496</v>
      </c>
      <c r="C74" t="s">
        <v>5395</v>
      </c>
    </row>
    <row r="75" spans="1:3" x14ac:dyDescent="0.25">
      <c r="A75" t="s">
        <v>73</v>
      </c>
      <c r="B75" t="s">
        <v>5497</v>
      </c>
      <c r="C75" t="s">
        <v>5396</v>
      </c>
    </row>
    <row r="76" spans="1:3" x14ac:dyDescent="0.25">
      <c r="A76" t="s">
        <v>74</v>
      </c>
      <c r="B76" t="s">
        <v>5498</v>
      </c>
      <c r="C76" t="s">
        <v>5397</v>
      </c>
    </row>
    <row r="77" spans="1:3" x14ac:dyDescent="0.25">
      <c r="A77" t="s">
        <v>75</v>
      </c>
      <c r="B77" t="s">
        <v>5499</v>
      </c>
      <c r="C77" t="s">
        <v>5398</v>
      </c>
    </row>
    <row r="78" spans="1:3" x14ac:dyDescent="0.25">
      <c r="A78" t="s">
        <v>76</v>
      </c>
      <c r="B78" t="s">
        <v>5500</v>
      </c>
      <c r="C78" t="s">
        <v>5399</v>
      </c>
    </row>
    <row r="79" spans="1:3" x14ac:dyDescent="0.25">
      <c r="A79" t="s">
        <v>77</v>
      </c>
      <c r="B79" t="s">
        <v>5501</v>
      </c>
      <c r="C79" t="s">
        <v>5400</v>
      </c>
    </row>
    <row r="80" spans="1:3" x14ac:dyDescent="0.25">
      <c r="A80" t="s">
        <v>78</v>
      </c>
      <c r="B80" t="s">
        <v>5502</v>
      </c>
      <c r="C80" t="s">
        <v>5401</v>
      </c>
    </row>
    <row r="81" spans="1:3" x14ac:dyDescent="0.25">
      <c r="A81" t="s">
        <v>79</v>
      </c>
      <c r="B81" t="s">
        <v>5503</v>
      </c>
      <c r="C81" t="s">
        <v>5402</v>
      </c>
    </row>
    <row r="82" spans="1:3" x14ac:dyDescent="0.25">
      <c r="A82" t="s">
        <v>80</v>
      </c>
      <c r="B82" t="s">
        <v>5504</v>
      </c>
      <c r="C82" t="s">
        <v>5403</v>
      </c>
    </row>
    <row r="83" spans="1:3" x14ac:dyDescent="0.25">
      <c r="A83" t="s">
        <v>81</v>
      </c>
      <c r="B83" t="s">
        <v>5505</v>
      </c>
      <c r="C83" t="s">
        <v>5404</v>
      </c>
    </row>
    <row r="84" spans="1:3" x14ac:dyDescent="0.25">
      <c r="A84" t="s">
        <v>82</v>
      </c>
      <c r="B84" t="s">
        <v>5506</v>
      </c>
      <c r="C84" t="s">
        <v>5405</v>
      </c>
    </row>
    <row r="85" spans="1:3" x14ac:dyDescent="0.25">
      <c r="A85" t="s">
        <v>83</v>
      </c>
      <c r="B85" t="s">
        <v>5507</v>
      </c>
      <c r="C85" t="s">
        <v>5406</v>
      </c>
    </row>
    <row r="86" spans="1:3" x14ac:dyDescent="0.25">
      <c r="A86" t="s">
        <v>84</v>
      </c>
      <c r="B86" t="s">
        <v>5508</v>
      </c>
      <c r="C86" t="s">
        <v>5407</v>
      </c>
    </row>
    <row r="87" spans="1:3" x14ac:dyDescent="0.25">
      <c r="A87" t="s">
        <v>85</v>
      </c>
      <c r="B87" t="s">
        <v>5509</v>
      </c>
      <c r="C87" t="s">
        <v>5408</v>
      </c>
    </row>
    <row r="88" spans="1:3" x14ac:dyDescent="0.25">
      <c r="A88" t="s">
        <v>86</v>
      </c>
      <c r="B88" t="s">
        <v>5510</v>
      </c>
      <c r="C88" t="s">
        <v>5409</v>
      </c>
    </row>
    <row r="89" spans="1:3" x14ac:dyDescent="0.25">
      <c r="A89" t="s">
        <v>87</v>
      </c>
      <c r="B89" t="s">
        <v>5511</v>
      </c>
      <c r="C89" t="s">
        <v>5410</v>
      </c>
    </row>
    <row r="90" spans="1:3" x14ac:dyDescent="0.25">
      <c r="A90" t="s">
        <v>88</v>
      </c>
      <c r="B90" t="s">
        <v>5512</v>
      </c>
      <c r="C90" t="s">
        <v>5411</v>
      </c>
    </row>
    <row r="91" spans="1:3" x14ac:dyDescent="0.25">
      <c r="A91" t="s">
        <v>89</v>
      </c>
      <c r="B91" t="s">
        <v>5513</v>
      </c>
      <c r="C91" t="s">
        <v>5412</v>
      </c>
    </row>
    <row r="92" spans="1:3" x14ac:dyDescent="0.25">
      <c r="A92" t="s">
        <v>90</v>
      </c>
      <c r="B92" t="s">
        <v>5514</v>
      </c>
      <c r="C92" t="s">
        <v>5413</v>
      </c>
    </row>
    <row r="93" spans="1:3" x14ac:dyDescent="0.25">
      <c r="A93" t="s">
        <v>91</v>
      </c>
      <c r="B93" t="s">
        <v>5515</v>
      </c>
      <c r="C93" t="s">
        <v>5414</v>
      </c>
    </row>
    <row r="94" spans="1:3" x14ac:dyDescent="0.25">
      <c r="A94" t="s">
        <v>92</v>
      </c>
      <c r="B94" t="s">
        <v>5516</v>
      </c>
      <c r="C94" t="s">
        <v>5415</v>
      </c>
    </row>
    <row r="95" spans="1:3" x14ac:dyDescent="0.25">
      <c r="A95" t="s">
        <v>93</v>
      </c>
      <c r="B95" t="s">
        <v>5517</v>
      </c>
      <c r="C95" t="s">
        <v>5416</v>
      </c>
    </row>
    <row r="96" spans="1:3" x14ac:dyDescent="0.25">
      <c r="A96" t="s">
        <v>94</v>
      </c>
      <c r="B96" t="s">
        <v>5518</v>
      </c>
      <c r="C96" t="s">
        <v>5417</v>
      </c>
    </row>
    <row r="97" spans="1:3" x14ac:dyDescent="0.25">
      <c r="A97" t="s">
        <v>95</v>
      </c>
      <c r="B97" t="s">
        <v>5519</v>
      </c>
      <c r="C97" t="s">
        <v>5418</v>
      </c>
    </row>
    <row r="98" spans="1:3" x14ac:dyDescent="0.25">
      <c r="A98" t="s">
        <v>96</v>
      </c>
      <c r="B98" t="s">
        <v>5520</v>
      </c>
      <c r="C98" t="s">
        <v>5419</v>
      </c>
    </row>
    <row r="99" spans="1:3" x14ac:dyDescent="0.25">
      <c r="A99" t="s">
        <v>97</v>
      </c>
      <c r="B99" t="s">
        <v>5521</v>
      </c>
      <c r="C99" t="s">
        <v>5420</v>
      </c>
    </row>
    <row r="100" spans="1:3" x14ac:dyDescent="0.25">
      <c r="A100" t="s">
        <v>98</v>
      </c>
      <c r="B100" t="s">
        <v>5522</v>
      </c>
      <c r="C100" t="s">
        <v>5421</v>
      </c>
    </row>
    <row r="101" spans="1:3" x14ac:dyDescent="0.25">
      <c r="A101" t="s">
        <v>99</v>
      </c>
      <c r="B101" t="s">
        <v>5523</v>
      </c>
      <c r="C101" t="s">
        <v>5422</v>
      </c>
    </row>
    <row r="102" spans="1:3" x14ac:dyDescent="0.25">
      <c r="A102" t="s">
        <v>100</v>
      </c>
      <c r="B102" t="s">
        <v>5524</v>
      </c>
      <c r="C102" t="s">
        <v>5423</v>
      </c>
    </row>
    <row r="103" spans="1:3" x14ac:dyDescent="0.25">
      <c r="A103" t="s">
        <v>101</v>
      </c>
      <c r="B103" t="s">
        <v>5525</v>
      </c>
      <c r="C103" t="s">
        <v>5424</v>
      </c>
    </row>
    <row r="104" spans="1:3" x14ac:dyDescent="0.25">
      <c r="A104" t="s">
        <v>102</v>
      </c>
      <c r="B104" t="s">
        <v>5526</v>
      </c>
      <c r="C104" t="s">
        <v>5425</v>
      </c>
    </row>
    <row r="105" spans="1:3" x14ac:dyDescent="0.25">
      <c r="A105" t="s">
        <v>103</v>
      </c>
      <c r="B105" t="s">
        <v>5527</v>
      </c>
      <c r="C105" t="s">
        <v>5426</v>
      </c>
    </row>
    <row r="106" spans="1:3" x14ac:dyDescent="0.25">
      <c r="A106" t="s">
        <v>104</v>
      </c>
      <c r="B106" t="s">
        <v>5528</v>
      </c>
      <c r="C106" t="s">
        <v>5427</v>
      </c>
    </row>
    <row r="107" spans="1:3" x14ac:dyDescent="0.25">
      <c r="A107" t="s">
        <v>105</v>
      </c>
      <c r="B107" t="s">
        <v>5529</v>
      </c>
      <c r="C107" t="s">
        <v>5428</v>
      </c>
    </row>
    <row r="108" spans="1:3" x14ac:dyDescent="0.25">
      <c r="A108" t="s">
        <v>5259</v>
      </c>
      <c r="B108" t="s">
        <v>5530</v>
      </c>
      <c r="C108" t="s">
        <v>5429</v>
      </c>
    </row>
    <row r="109" spans="1:3" x14ac:dyDescent="0.25">
      <c r="A109" t="s">
        <v>5260</v>
      </c>
      <c r="B109" t="s">
        <v>5531</v>
      </c>
      <c r="C109" t="s">
        <v>5430</v>
      </c>
    </row>
    <row r="110" spans="1:3" x14ac:dyDescent="0.25">
      <c r="A110" t="s">
        <v>5261</v>
      </c>
      <c r="B110" t="s">
        <v>5532</v>
      </c>
      <c r="C110" t="s">
        <v>5431</v>
      </c>
    </row>
    <row r="111" spans="1:3" x14ac:dyDescent="0.25">
      <c r="A111" t="s">
        <v>5262</v>
      </c>
      <c r="B111" t="s">
        <v>5533</v>
      </c>
      <c r="C111" t="s">
        <v>5432</v>
      </c>
    </row>
    <row r="112" spans="1:3" x14ac:dyDescent="0.25">
      <c r="A112" t="s">
        <v>5263</v>
      </c>
      <c r="B112" t="s">
        <v>5534</v>
      </c>
      <c r="C112" t="s">
        <v>5433</v>
      </c>
    </row>
    <row r="113" spans="1:3" x14ac:dyDescent="0.25">
      <c r="A113" t="s">
        <v>5264</v>
      </c>
      <c r="B113" t="s">
        <v>5535</v>
      </c>
      <c r="C113" t="s">
        <v>5434</v>
      </c>
    </row>
    <row r="114" spans="1:3" x14ac:dyDescent="0.25">
      <c r="A114" t="s">
        <v>5265</v>
      </c>
      <c r="B114" t="s">
        <v>5536</v>
      </c>
      <c r="C114" t="s">
        <v>5435</v>
      </c>
    </row>
    <row r="115" spans="1:3" x14ac:dyDescent="0.25">
      <c r="A115" t="s">
        <v>5266</v>
      </c>
      <c r="B115" t="s">
        <v>5537</v>
      </c>
      <c r="C115" t="s">
        <v>5436</v>
      </c>
    </row>
    <row r="116" spans="1:3" x14ac:dyDescent="0.25">
      <c r="A116" t="s">
        <v>5267</v>
      </c>
      <c r="B116" t="s">
        <v>5538</v>
      </c>
      <c r="C116" t="s">
        <v>5437</v>
      </c>
    </row>
    <row r="117" spans="1:3" x14ac:dyDescent="0.25">
      <c r="A117" t="s">
        <v>5268</v>
      </c>
      <c r="B117" t="s">
        <v>5539</v>
      </c>
      <c r="C117" t="s">
        <v>5438</v>
      </c>
    </row>
    <row r="118" spans="1:3" x14ac:dyDescent="0.25">
      <c r="A118" t="s">
        <v>5269</v>
      </c>
      <c r="B118" t="s">
        <v>5540</v>
      </c>
      <c r="C118" t="s">
        <v>5439</v>
      </c>
    </row>
    <row r="119" spans="1:3" x14ac:dyDescent="0.25">
      <c r="A119" t="s">
        <v>5270</v>
      </c>
      <c r="B119" t="s">
        <v>5541</v>
      </c>
      <c r="C119" t="s">
        <v>5440</v>
      </c>
    </row>
    <row r="120" spans="1:3" x14ac:dyDescent="0.25">
      <c r="A120" t="s">
        <v>5271</v>
      </c>
      <c r="B120" t="s">
        <v>5542</v>
      </c>
      <c r="C120" t="s">
        <v>5441</v>
      </c>
    </row>
    <row r="121" spans="1:3" x14ac:dyDescent="0.25">
      <c r="A121" t="s">
        <v>5286</v>
      </c>
      <c r="B121" t="s">
        <v>5543</v>
      </c>
      <c r="C121" t="s">
        <v>5442</v>
      </c>
    </row>
    <row r="122" spans="1:3" x14ac:dyDescent="0.25">
      <c r="A122" t="s">
        <v>5287</v>
      </c>
      <c r="B122" t="s">
        <v>5544</v>
      </c>
      <c r="C122" t="s">
        <v>5443</v>
      </c>
    </row>
    <row r="123" spans="1:3" x14ac:dyDescent="0.25">
      <c r="A123" t="s">
        <v>5288</v>
      </c>
      <c r="B123" t="s">
        <v>5545</v>
      </c>
      <c r="C123" t="s">
        <v>5444</v>
      </c>
    </row>
    <row r="124" spans="1:3" x14ac:dyDescent="0.25">
      <c r="A124" t="s">
        <v>5289</v>
      </c>
      <c r="B124" t="s">
        <v>5546</v>
      </c>
      <c r="C124" t="s">
        <v>5445</v>
      </c>
    </row>
    <row r="125" spans="1:3" x14ac:dyDescent="0.25">
      <c r="A125" t="s">
        <v>5290</v>
      </c>
      <c r="B125" t="s">
        <v>5547</v>
      </c>
      <c r="C125" t="s">
        <v>5446</v>
      </c>
    </row>
    <row r="126" spans="1:3" x14ac:dyDescent="0.25">
      <c r="A126" t="s">
        <v>5291</v>
      </c>
      <c r="B126" t="s">
        <v>5548</v>
      </c>
      <c r="C126" t="s">
        <v>5447</v>
      </c>
    </row>
    <row r="127" spans="1:3" x14ac:dyDescent="0.25">
      <c r="A127" t="s">
        <v>5292</v>
      </c>
      <c r="B127" t="s">
        <v>5549</v>
      </c>
      <c r="C127" t="s">
        <v>5448</v>
      </c>
    </row>
    <row r="128" spans="1:3" x14ac:dyDescent="0.25">
      <c r="A128" t="s">
        <v>5293</v>
      </c>
      <c r="B128" t="s">
        <v>5550</v>
      </c>
      <c r="C128" t="s">
        <v>5449</v>
      </c>
    </row>
    <row r="129" spans="1:3" x14ac:dyDescent="0.25">
      <c r="A129" t="s">
        <v>5294</v>
      </c>
      <c r="B129" t="s">
        <v>5551</v>
      </c>
      <c r="C129" t="s">
        <v>5450</v>
      </c>
    </row>
    <row r="130" spans="1:3" x14ac:dyDescent="0.25">
      <c r="A130" t="s">
        <v>5295</v>
      </c>
      <c r="B130" t="s">
        <v>5552</v>
      </c>
      <c r="C130" t="s">
        <v>5451</v>
      </c>
    </row>
    <row r="131" spans="1:3" x14ac:dyDescent="0.25">
      <c r="A131" t="s">
        <v>5296</v>
      </c>
      <c r="B131" t="s">
        <v>5553</v>
      </c>
      <c r="C131" t="s">
        <v>5452</v>
      </c>
    </row>
    <row r="132" spans="1:3" x14ac:dyDescent="0.25">
      <c r="A132" t="s">
        <v>5297</v>
      </c>
      <c r="B132" t="s">
        <v>5554</v>
      </c>
      <c r="C132" t="s">
        <v>5453</v>
      </c>
    </row>
    <row r="133" spans="1:3" x14ac:dyDescent="0.25">
      <c r="A133" t="s">
        <v>5298</v>
      </c>
      <c r="B133" t="s">
        <v>5555</v>
      </c>
      <c r="C133" t="s">
        <v>5454</v>
      </c>
    </row>
    <row r="134" spans="1:3" x14ac:dyDescent="0.25">
      <c r="A134" t="s">
        <v>5299</v>
      </c>
      <c r="B134" t="s">
        <v>5556</v>
      </c>
      <c r="C134" t="s">
        <v>5455</v>
      </c>
    </row>
    <row r="135" spans="1:3" x14ac:dyDescent="0.25">
      <c r="A135" t="s">
        <v>5300</v>
      </c>
      <c r="B135" t="s">
        <v>5557</v>
      </c>
      <c r="C135" t="s">
        <v>5456</v>
      </c>
    </row>
    <row r="136" spans="1:3" x14ac:dyDescent="0.25">
      <c r="A136" t="s">
        <v>5301</v>
      </c>
      <c r="B136" t="s">
        <v>5558</v>
      </c>
      <c r="C136" t="s">
        <v>5457</v>
      </c>
    </row>
    <row r="137" spans="1:3" x14ac:dyDescent="0.25">
      <c r="A137" t="s">
        <v>5302</v>
      </c>
      <c r="B137" t="s">
        <v>5559</v>
      </c>
      <c r="C137" t="s">
        <v>5458</v>
      </c>
    </row>
    <row r="138" spans="1:3" x14ac:dyDescent="0.25">
      <c r="A138" t="s">
        <v>5303</v>
      </c>
      <c r="B138" t="s">
        <v>5560</v>
      </c>
      <c r="C138" t="s">
        <v>5459</v>
      </c>
    </row>
    <row r="139" spans="1:3" x14ac:dyDescent="0.25">
      <c r="A139" t="s">
        <v>5304</v>
      </c>
      <c r="B139" t="s">
        <v>5561</v>
      </c>
      <c r="C139" t="s">
        <v>5460</v>
      </c>
    </row>
    <row r="140" spans="1:3" x14ac:dyDescent="0.25">
      <c r="A140" t="s">
        <v>5305</v>
      </c>
      <c r="B140" t="s">
        <v>5562</v>
      </c>
      <c r="C140" t="s">
        <v>5461</v>
      </c>
    </row>
    <row r="141" spans="1:3" x14ac:dyDescent="0.25">
      <c r="A141" t="s">
        <v>5306</v>
      </c>
      <c r="B141" t="s">
        <v>5563</v>
      </c>
      <c r="C141" t="s">
        <v>5462</v>
      </c>
    </row>
    <row r="142" spans="1:3" x14ac:dyDescent="0.25">
      <c r="A142" t="s">
        <v>5307</v>
      </c>
      <c r="B142" t="s">
        <v>5564</v>
      </c>
      <c r="C142" t="s">
        <v>5463</v>
      </c>
    </row>
    <row r="143" spans="1:3" x14ac:dyDescent="0.25">
      <c r="A143" t="s">
        <v>5308</v>
      </c>
      <c r="B143" t="s">
        <v>5565</v>
      </c>
      <c r="C143" t="s">
        <v>5464</v>
      </c>
    </row>
    <row r="144" spans="1:3" x14ac:dyDescent="0.25">
      <c r="A144" t="s">
        <v>5309</v>
      </c>
      <c r="B144" t="s">
        <v>5566</v>
      </c>
      <c r="C144" t="s">
        <v>5465</v>
      </c>
    </row>
    <row r="145" spans="1:3" x14ac:dyDescent="0.25">
      <c r="A145" t="s">
        <v>5310</v>
      </c>
      <c r="B145" t="s">
        <v>5567</v>
      </c>
      <c r="C145" t="s">
        <v>5466</v>
      </c>
    </row>
    <row r="146" spans="1:3" x14ac:dyDescent="0.25">
      <c r="A146" t="s">
        <v>5311</v>
      </c>
      <c r="B146" t="s">
        <v>5568</v>
      </c>
      <c r="C146" t="s">
        <v>5467</v>
      </c>
    </row>
    <row r="147" spans="1:3" x14ac:dyDescent="0.25">
      <c r="A147" t="s">
        <v>5312</v>
      </c>
      <c r="B147" t="s">
        <v>5569</v>
      </c>
      <c r="C147" t="s">
        <v>5468</v>
      </c>
    </row>
    <row r="148" spans="1:3" x14ac:dyDescent="0.25">
      <c r="A148" t="s">
        <v>5313</v>
      </c>
      <c r="B148" t="s">
        <v>5570</v>
      </c>
      <c r="C148" t="s">
        <v>5469</v>
      </c>
    </row>
    <row r="149" spans="1:3" x14ac:dyDescent="0.25">
      <c r="A149" t="s">
        <v>5314</v>
      </c>
      <c r="B149" t="s">
        <v>5571</v>
      </c>
      <c r="C149" t="s">
        <v>5470</v>
      </c>
    </row>
    <row r="150" spans="1:3" x14ac:dyDescent="0.25">
      <c r="A150" t="s">
        <v>5315</v>
      </c>
      <c r="B150" t="s">
        <v>5572</v>
      </c>
      <c r="C150" t="s">
        <v>5471</v>
      </c>
    </row>
    <row r="151" spans="1:3" x14ac:dyDescent="0.25">
      <c r="A151" t="s">
        <v>5316</v>
      </c>
      <c r="B151" t="s">
        <v>5573</v>
      </c>
      <c r="C151" t="s">
        <v>5472</v>
      </c>
    </row>
    <row r="152" spans="1:3" x14ac:dyDescent="0.25">
      <c r="A152" t="s">
        <v>5317</v>
      </c>
      <c r="B152" t="s">
        <v>5574</v>
      </c>
      <c r="C152" t="s">
        <v>5473</v>
      </c>
    </row>
    <row r="153" spans="1:3" x14ac:dyDescent="0.25">
      <c r="A153" t="s">
        <v>5318</v>
      </c>
      <c r="B153" t="s">
        <v>5575</v>
      </c>
      <c r="C153" t="s">
        <v>5474</v>
      </c>
    </row>
    <row r="154" spans="1:3" x14ac:dyDescent="0.25">
      <c r="A154" t="s">
        <v>5319</v>
      </c>
      <c r="B154" t="s">
        <v>5576</v>
      </c>
      <c r="C154" t="s">
        <v>5475</v>
      </c>
    </row>
    <row r="155" spans="1:3" x14ac:dyDescent="0.25">
      <c r="A155" t="s">
        <v>5320</v>
      </c>
      <c r="B155" t="s">
        <v>5577</v>
      </c>
      <c r="C155" t="s">
        <v>5476</v>
      </c>
    </row>
    <row r="156" spans="1:3" x14ac:dyDescent="0.25">
      <c r="A156" t="s">
        <v>5321</v>
      </c>
      <c r="B156" t="s">
        <v>5578</v>
      </c>
      <c r="C156" t="s">
        <v>5477</v>
      </c>
    </row>
    <row r="157" spans="1:3" x14ac:dyDescent="0.25">
      <c r="A157" t="s">
        <v>5322</v>
      </c>
      <c r="B157" t="s">
        <v>5579</v>
      </c>
      <c r="C157" t="s">
        <v>5478</v>
      </c>
    </row>
    <row r="158" spans="1:3" x14ac:dyDescent="0.25">
      <c r="A158" t="str">
        <f>""</f>
        <v/>
      </c>
      <c r="B158" t="str">
        <f>""</f>
        <v/>
      </c>
      <c r="C158" t="str">
        <f>""</f>
        <v/>
      </c>
    </row>
  </sheetData>
  <sheetProtection algorithmName="SHA-512" hashValue="S0W6OuIfL1MAhbK2wjywk8hkfhPMFwHnx5Dcz81dRVBNASib0FrHPmQcypWZ9Kdeq71aaQ2neiUEL0UWtek4zQ==" saltValue="KDk7aahw1ruQX9jLdLjFbQ==" spinCount="100000" sheet="1" objects="1" scenarios="1"/>
  <phoneticPr fontId="15" type="noConversion"/>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G298"/>
  <sheetViews>
    <sheetView workbookViewId="0"/>
  </sheetViews>
  <sheetFormatPr baseColWidth="10" defaultColWidth="10.85546875" defaultRowHeight="15.75" x14ac:dyDescent="0.25"/>
  <cols>
    <col min="1" max="1" width="78.42578125" style="24" customWidth="1"/>
    <col min="2" max="2" width="10.85546875" style="2"/>
    <col min="3" max="4" width="29.42578125" style="2" customWidth="1"/>
    <col min="5" max="5" width="20.28515625" style="2" customWidth="1"/>
    <col min="6" max="6" width="10.42578125" style="2" customWidth="1"/>
    <col min="7" max="7" width="20.28515625" style="2" customWidth="1"/>
    <col min="8" max="16384" width="10.85546875" style="2"/>
  </cols>
  <sheetData>
    <row r="1" spans="1:7" x14ac:dyDescent="0.25">
      <c r="A1" s="27" t="s">
        <v>8</v>
      </c>
      <c r="B1" s="27" t="s">
        <v>826</v>
      </c>
      <c r="C1" s="27" t="s">
        <v>8</v>
      </c>
      <c r="D1" s="27" t="s">
        <v>8</v>
      </c>
      <c r="E1" s="27" t="s">
        <v>2432</v>
      </c>
      <c r="F1" s="27" t="s">
        <v>4081</v>
      </c>
      <c r="G1" s="27" t="s">
        <v>4082</v>
      </c>
    </row>
    <row r="2" spans="1:7" x14ac:dyDescent="0.25">
      <c r="A2" s="24" t="s">
        <v>2125</v>
      </c>
      <c r="B2" s="2" t="s">
        <v>131</v>
      </c>
      <c r="C2" s="2" t="s">
        <v>410</v>
      </c>
      <c r="D2" s="2" t="s">
        <v>409</v>
      </c>
      <c r="E2" s="2" t="s">
        <v>174</v>
      </c>
      <c r="F2" s="24" t="s">
        <v>4083</v>
      </c>
      <c r="G2" s="2" t="s">
        <v>4084</v>
      </c>
    </row>
    <row r="3" spans="1:7" x14ac:dyDescent="0.25">
      <c r="A3" s="24" t="s">
        <v>2126</v>
      </c>
      <c r="B3" s="2" t="s">
        <v>131</v>
      </c>
      <c r="C3" s="2" t="s">
        <v>302</v>
      </c>
      <c r="D3" s="2" t="s">
        <v>301</v>
      </c>
      <c r="E3" s="2" t="s">
        <v>273</v>
      </c>
      <c r="F3" s="2" t="s">
        <v>303</v>
      </c>
      <c r="G3" s="2" t="s">
        <v>4085</v>
      </c>
    </row>
    <row r="4" spans="1:7" x14ac:dyDescent="0.25">
      <c r="A4" s="24" t="s">
        <v>2127</v>
      </c>
      <c r="B4" s="2" t="s">
        <v>131</v>
      </c>
      <c r="C4" s="2" t="s">
        <v>132</v>
      </c>
      <c r="D4" s="2" t="s">
        <v>130</v>
      </c>
      <c r="E4" s="2" t="s">
        <v>114</v>
      </c>
      <c r="F4" s="2" t="s">
        <v>133</v>
      </c>
      <c r="G4" s="2" t="s">
        <v>4086</v>
      </c>
    </row>
    <row r="5" spans="1:7" x14ac:dyDescent="0.25">
      <c r="A5" s="24" t="s">
        <v>2128</v>
      </c>
      <c r="B5" s="2" t="s">
        <v>131</v>
      </c>
      <c r="C5" s="2" t="s">
        <v>4087</v>
      </c>
      <c r="D5" s="2" t="s">
        <v>863</v>
      </c>
      <c r="E5" s="2" t="s">
        <v>589</v>
      </c>
      <c r="F5" s="2" t="s">
        <v>4088</v>
      </c>
      <c r="G5" s="2" t="s">
        <v>4089</v>
      </c>
    </row>
    <row r="6" spans="1:7" x14ac:dyDescent="0.25">
      <c r="A6" s="24" t="s">
        <v>2128</v>
      </c>
      <c r="B6" s="2" t="s">
        <v>131</v>
      </c>
      <c r="C6" s="2" t="s">
        <v>4087</v>
      </c>
      <c r="D6" s="2" t="s">
        <v>863</v>
      </c>
      <c r="E6" s="2" t="s">
        <v>139</v>
      </c>
      <c r="F6" s="2" t="s">
        <v>4088</v>
      </c>
      <c r="G6" s="2" t="s">
        <v>4089</v>
      </c>
    </row>
    <row r="7" spans="1:7" x14ac:dyDescent="0.25">
      <c r="A7" s="24" t="s">
        <v>2129</v>
      </c>
      <c r="B7" s="2" t="s">
        <v>131</v>
      </c>
      <c r="C7" s="2" t="s">
        <v>760</v>
      </c>
      <c r="D7" s="2" t="s">
        <v>864</v>
      </c>
      <c r="E7" s="2" t="s">
        <v>139</v>
      </c>
      <c r="F7" s="2" t="s">
        <v>761</v>
      </c>
      <c r="G7" s="2" t="s">
        <v>4090</v>
      </c>
    </row>
    <row r="8" spans="1:7" x14ac:dyDescent="0.25">
      <c r="A8" s="24" t="s">
        <v>2130</v>
      </c>
      <c r="B8" s="2" t="s">
        <v>131</v>
      </c>
      <c r="C8" s="2" t="s">
        <v>748</v>
      </c>
      <c r="D8" s="2" t="s">
        <v>865</v>
      </c>
      <c r="E8" s="2" t="s">
        <v>350</v>
      </c>
      <c r="F8" s="2" t="s">
        <v>749</v>
      </c>
      <c r="G8" s="2" t="s">
        <v>4091</v>
      </c>
    </row>
    <row r="9" spans="1:7" x14ac:dyDescent="0.25">
      <c r="A9" s="24" t="s">
        <v>2131</v>
      </c>
      <c r="B9" s="2" t="s">
        <v>131</v>
      </c>
      <c r="C9" s="2" t="s">
        <v>583</v>
      </c>
      <c r="D9" s="2" t="s">
        <v>582</v>
      </c>
      <c r="E9" s="2" t="s">
        <v>350</v>
      </c>
      <c r="F9" s="2" t="s">
        <v>4092</v>
      </c>
      <c r="G9" s="2" t="s">
        <v>4093</v>
      </c>
    </row>
    <row r="10" spans="1:7" x14ac:dyDescent="0.25">
      <c r="A10" s="24" t="s">
        <v>2132</v>
      </c>
      <c r="B10" s="2" t="s">
        <v>131</v>
      </c>
      <c r="C10" s="2" t="s">
        <v>537</v>
      </c>
      <c r="D10" s="2" t="s">
        <v>536</v>
      </c>
      <c r="E10" s="2" t="s">
        <v>446</v>
      </c>
      <c r="F10" s="2" t="s">
        <v>4094</v>
      </c>
      <c r="G10" s="2" t="s">
        <v>4095</v>
      </c>
    </row>
    <row r="11" spans="1:7" x14ac:dyDescent="0.25">
      <c r="A11" s="24" t="s">
        <v>2133</v>
      </c>
      <c r="B11" s="2" t="s">
        <v>131</v>
      </c>
      <c r="C11" s="2" t="s">
        <v>752</v>
      </c>
      <c r="D11" s="2" t="s">
        <v>866</v>
      </c>
      <c r="E11" s="2" t="s">
        <v>266</v>
      </c>
      <c r="F11" s="2" t="s">
        <v>753</v>
      </c>
      <c r="G11" s="2" t="s">
        <v>4096</v>
      </c>
    </row>
    <row r="12" spans="1:7" x14ac:dyDescent="0.25">
      <c r="A12" s="24" t="s">
        <v>2134</v>
      </c>
      <c r="B12" s="2" t="s">
        <v>131</v>
      </c>
      <c r="C12" s="2" t="s">
        <v>596</v>
      </c>
      <c r="D12" s="2" t="s">
        <v>595</v>
      </c>
      <c r="E12" s="2" t="s">
        <v>266</v>
      </c>
      <c r="F12" s="2" t="s">
        <v>4097</v>
      </c>
      <c r="G12" s="2" t="s">
        <v>4098</v>
      </c>
    </row>
    <row r="13" spans="1:7" x14ac:dyDescent="0.25">
      <c r="A13" s="24" t="s">
        <v>2135</v>
      </c>
      <c r="B13" s="2" t="s">
        <v>131</v>
      </c>
      <c r="C13" s="2" t="s">
        <v>4099</v>
      </c>
      <c r="D13" s="2" t="s">
        <v>4589</v>
      </c>
      <c r="E13" s="2" t="s">
        <v>482</v>
      </c>
      <c r="F13" s="2" t="s">
        <v>4100</v>
      </c>
      <c r="G13" s="2" t="s">
        <v>4101</v>
      </c>
    </row>
    <row r="14" spans="1:7" x14ac:dyDescent="0.25">
      <c r="A14" s="24" t="s">
        <v>2136</v>
      </c>
      <c r="B14" s="2" t="s">
        <v>131</v>
      </c>
      <c r="C14" s="2" t="s">
        <v>287</v>
      </c>
      <c r="D14" s="2" t="s">
        <v>285</v>
      </c>
      <c r="E14" s="2" t="s">
        <v>286</v>
      </c>
      <c r="F14" s="2" t="s">
        <v>288</v>
      </c>
      <c r="G14" s="2" t="s">
        <v>4102</v>
      </c>
    </row>
    <row r="15" spans="1:7" x14ac:dyDescent="0.25">
      <c r="A15" s="24" t="s">
        <v>2138</v>
      </c>
      <c r="B15" s="2" t="s">
        <v>131</v>
      </c>
      <c r="C15" s="2" t="s">
        <v>614</v>
      </c>
      <c r="D15" s="2" t="s">
        <v>613</v>
      </c>
      <c r="E15" s="2" t="s">
        <v>135</v>
      </c>
      <c r="F15" s="2" t="s">
        <v>756</v>
      </c>
      <c r="G15" s="2" t="s">
        <v>4105</v>
      </c>
    </row>
    <row r="16" spans="1:7" x14ac:dyDescent="0.25">
      <c r="A16" s="24" t="s">
        <v>2137</v>
      </c>
      <c r="B16" s="2" t="s">
        <v>131</v>
      </c>
      <c r="C16" s="2" t="s">
        <v>614</v>
      </c>
      <c r="D16" s="2" t="s">
        <v>613</v>
      </c>
      <c r="E16" s="2" t="s">
        <v>519</v>
      </c>
      <c r="F16" s="2" t="s">
        <v>4103</v>
      </c>
      <c r="G16" s="2" t="s">
        <v>4104</v>
      </c>
    </row>
    <row r="17" spans="1:7" x14ac:dyDescent="0.25">
      <c r="A17" s="24" t="s">
        <v>2139</v>
      </c>
      <c r="B17" s="2" t="s">
        <v>131</v>
      </c>
      <c r="C17" s="2" t="s">
        <v>466</v>
      </c>
      <c r="D17" s="2" t="s">
        <v>465</v>
      </c>
      <c r="E17" s="2" t="s">
        <v>121</v>
      </c>
      <c r="F17" s="2" t="s">
        <v>4106</v>
      </c>
      <c r="G17" s="2" t="s">
        <v>4107</v>
      </c>
    </row>
    <row r="18" spans="1:7" x14ac:dyDescent="0.25">
      <c r="A18" s="24" t="s">
        <v>2140</v>
      </c>
      <c r="B18" s="2" t="s">
        <v>131</v>
      </c>
      <c r="C18" s="2" t="s">
        <v>774</v>
      </c>
      <c r="D18" s="2" t="s">
        <v>867</v>
      </c>
      <c r="E18" s="2" t="s">
        <v>121</v>
      </c>
      <c r="F18" s="2" t="s">
        <v>775</v>
      </c>
      <c r="G18" s="2" t="s">
        <v>4108</v>
      </c>
    </row>
    <row r="19" spans="1:7" x14ac:dyDescent="0.25">
      <c r="A19" s="24" t="s">
        <v>2141</v>
      </c>
      <c r="B19" s="2" t="s">
        <v>131</v>
      </c>
      <c r="C19" s="2" t="s">
        <v>4109</v>
      </c>
      <c r="D19" s="2" t="s">
        <v>868</v>
      </c>
      <c r="E19" s="2" t="s">
        <v>114</v>
      </c>
      <c r="F19" s="2" t="s">
        <v>4110</v>
      </c>
      <c r="G19" s="2" t="s">
        <v>4111</v>
      </c>
    </row>
    <row r="20" spans="1:7" x14ac:dyDescent="0.25">
      <c r="A20" s="24" t="s">
        <v>2141</v>
      </c>
      <c r="B20" s="2" t="s">
        <v>131</v>
      </c>
      <c r="C20" s="23" t="s">
        <v>4112</v>
      </c>
      <c r="D20" s="23" t="s">
        <v>2124</v>
      </c>
      <c r="E20" s="2" t="s">
        <v>121</v>
      </c>
      <c r="F20" s="2" t="s">
        <v>4110</v>
      </c>
      <c r="G20" s="2" t="s">
        <v>4111</v>
      </c>
    </row>
    <row r="21" spans="1:7" x14ac:dyDescent="0.25">
      <c r="A21" s="24" t="s">
        <v>2142</v>
      </c>
      <c r="B21" s="2" t="s">
        <v>131</v>
      </c>
      <c r="C21" s="2" t="s">
        <v>398</v>
      </c>
      <c r="D21" s="2" t="s">
        <v>397</v>
      </c>
      <c r="E21" s="2" t="s">
        <v>114</v>
      </c>
      <c r="F21" s="2" t="s">
        <v>4113</v>
      </c>
      <c r="G21" s="2" t="s">
        <v>4114</v>
      </c>
    </row>
    <row r="22" spans="1:7" x14ac:dyDescent="0.25">
      <c r="A22" s="24" t="s">
        <v>2143</v>
      </c>
      <c r="B22" s="2" t="s">
        <v>131</v>
      </c>
      <c r="C22" s="2" t="s">
        <v>4115</v>
      </c>
      <c r="D22" s="2" t="s">
        <v>4590</v>
      </c>
      <c r="E22" s="2" t="s">
        <v>589</v>
      </c>
      <c r="F22" s="2" t="s">
        <v>4116</v>
      </c>
      <c r="G22" s="2" t="s">
        <v>4117</v>
      </c>
    </row>
    <row r="23" spans="1:7" x14ac:dyDescent="0.25">
      <c r="A23" s="24" t="s">
        <v>2144</v>
      </c>
      <c r="B23" s="2" t="s">
        <v>131</v>
      </c>
      <c r="C23" s="2" t="s">
        <v>290</v>
      </c>
      <c r="D23" s="2" t="s">
        <v>289</v>
      </c>
      <c r="E23" s="2" t="s">
        <v>135</v>
      </c>
      <c r="F23" s="2" t="s">
        <v>291</v>
      </c>
      <c r="G23" s="2" t="s">
        <v>4118</v>
      </c>
    </row>
    <row r="24" spans="1:7" x14ac:dyDescent="0.25">
      <c r="A24" s="24" t="s">
        <v>2145</v>
      </c>
      <c r="B24" s="2" t="s">
        <v>131</v>
      </c>
      <c r="C24" s="2" t="s">
        <v>598</v>
      </c>
      <c r="D24" s="2" t="s">
        <v>597</v>
      </c>
      <c r="E24" s="2" t="s">
        <v>266</v>
      </c>
      <c r="F24" s="2" t="s">
        <v>4119</v>
      </c>
      <c r="G24" s="2" t="s">
        <v>4120</v>
      </c>
    </row>
    <row r="25" spans="1:7" x14ac:dyDescent="0.25">
      <c r="A25" s="24" t="s">
        <v>2146</v>
      </c>
      <c r="B25" s="2" t="s">
        <v>131</v>
      </c>
      <c r="C25" s="2" t="s">
        <v>750</v>
      </c>
      <c r="D25" s="2" t="s">
        <v>869</v>
      </c>
      <c r="E25" s="2" t="s">
        <v>266</v>
      </c>
      <c r="F25" s="2" t="s">
        <v>751</v>
      </c>
      <c r="G25" s="2" t="s">
        <v>4121</v>
      </c>
    </row>
    <row r="26" spans="1:7" x14ac:dyDescent="0.25">
      <c r="A26" s="24" t="s">
        <v>2147</v>
      </c>
      <c r="B26" s="2" t="s">
        <v>131</v>
      </c>
      <c r="C26" s="2" t="s">
        <v>254</v>
      </c>
      <c r="D26" s="2" t="s">
        <v>253</v>
      </c>
      <c r="E26" s="2" t="s">
        <v>247</v>
      </c>
      <c r="F26" s="2" t="s">
        <v>255</v>
      </c>
      <c r="G26" s="2" t="s">
        <v>4122</v>
      </c>
    </row>
    <row r="27" spans="1:7" x14ac:dyDescent="0.25">
      <c r="A27" s="24" t="s">
        <v>2148</v>
      </c>
      <c r="B27" s="2" t="s">
        <v>131</v>
      </c>
      <c r="C27" s="2" t="s">
        <v>506</v>
      </c>
      <c r="D27" s="2" t="s">
        <v>505</v>
      </c>
      <c r="E27" s="2" t="s">
        <v>273</v>
      </c>
      <c r="F27" s="2" t="s">
        <v>4123</v>
      </c>
      <c r="G27" s="2" t="s">
        <v>4124</v>
      </c>
    </row>
    <row r="28" spans="1:7" x14ac:dyDescent="0.25">
      <c r="A28" s="24" t="s">
        <v>2149</v>
      </c>
      <c r="B28" s="2" t="s">
        <v>131</v>
      </c>
      <c r="C28" s="2" t="s">
        <v>715</v>
      </c>
      <c r="D28" s="2" t="s">
        <v>870</v>
      </c>
      <c r="E28" s="2" t="s">
        <v>174</v>
      </c>
      <c r="F28" s="2" t="s">
        <v>716</v>
      </c>
      <c r="G28" s="2" t="s">
        <v>4125</v>
      </c>
    </row>
    <row r="29" spans="1:7" x14ac:dyDescent="0.25">
      <c r="A29" s="24" t="s">
        <v>2150</v>
      </c>
      <c r="B29" s="2" t="s">
        <v>131</v>
      </c>
      <c r="C29" s="2" t="s">
        <v>366</v>
      </c>
      <c r="D29" s="2" t="s">
        <v>365</v>
      </c>
      <c r="E29" s="2" t="s">
        <v>346</v>
      </c>
      <c r="F29" s="2" t="s">
        <v>367</v>
      </c>
      <c r="G29" s="2" t="s">
        <v>4126</v>
      </c>
    </row>
    <row r="30" spans="1:7" x14ac:dyDescent="0.25">
      <c r="A30" s="24" t="s">
        <v>2151</v>
      </c>
      <c r="B30" s="2" t="s">
        <v>131</v>
      </c>
      <c r="C30" s="2" t="s">
        <v>739</v>
      </c>
      <c r="D30" s="2" t="s">
        <v>871</v>
      </c>
      <c r="E30" s="2" t="s">
        <v>233</v>
      </c>
      <c r="F30" s="2" t="s">
        <v>740</v>
      </c>
      <c r="G30" s="2" t="s">
        <v>4127</v>
      </c>
    </row>
    <row r="31" spans="1:7" x14ac:dyDescent="0.25">
      <c r="A31" s="24" t="s">
        <v>2152</v>
      </c>
      <c r="B31" s="2" t="s">
        <v>131</v>
      </c>
      <c r="C31" s="2" t="s">
        <v>502</v>
      </c>
      <c r="D31" s="2" t="s">
        <v>501</v>
      </c>
      <c r="E31" s="2" t="s">
        <v>273</v>
      </c>
      <c r="F31" s="2" t="s">
        <v>4128</v>
      </c>
      <c r="G31" s="2" t="s">
        <v>4129</v>
      </c>
    </row>
    <row r="32" spans="1:7" x14ac:dyDescent="0.25">
      <c r="A32" s="24" t="s">
        <v>2153</v>
      </c>
      <c r="B32" s="2" t="s">
        <v>131</v>
      </c>
      <c r="C32" s="2" t="s">
        <v>305</v>
      </c>
      <c r="D32" s="2" t="s">
        <v>304</v>
      </c>
      <c r="E32" s="2" t="s">
        <v>273</v>
      </c>
      <c r="F32" s="2" t="s">
        <v>306</v>
      </c>
      <c r="G32" s="2" t="s">
        <v>4130</v>
      </c>
    </row>
    <row r="33" spans="1:7" x14ac:dyDescent="0.25">
      <c r="A33" s="24" t="s">
        <v>2154</v>
      </c>
      <c r="B33" s="2" t="s">
        <v>131</v>
      </c>
      <c r="C33" s="2" t="s">
        <v>510</v>
      </c>
      <c r="D33" s="2" t="s">
        <v>509</v>
      </c>
      <c r="E33" s="2" t="s">
        <v>273</v>
      </c>
      <c r="F33" s="2" t="s">
        <v>4131</v>
      </c>
      <c r="G33" s="2" t="s">
        <v>4132</v>
      </c>
    </row>
    <row r="34" spans="1:7" x14ac:dyDescent="0.25">
      <c r="A34" s="24" t="s">
        <v>2155</v>
      </c>
      <c r="B34" s="2" t="s">
        <v>131</v>
      </c>
      <c r="C34" s="2" t="s">
        <v>504</v>
      </c>
      <c r="D34" s="2" t="s">
        <v>503</v>
      </c>
      <c r="E34" s="2" t="s">
        <v>273</v>
      </c>
      <c r="F34" s="2" t="s">
        <v>4133</v>
      </c>
      <c r="G34" s="2" t="s">
        <v>4134</v>
      </c>
    </row>
    <row r="35" spans="1:7" x14ac:dyDescent="0.25">
      <c r="A35" s="24" t="s">
        <v>2156</v>
      </c>
      <c r="B35" s="2" t="s">
        <v>131</v>
      </c>
      <c r="C35" s="2" t="s">
        <v>136</v>
      </c>
      <c r="D35" s="2" t="s">
        <v>134</v>
      </c>
      <c r="E35" s="2" t="s">
        <v>135</v>
      </c>
      <c r="F35" s="2" t="s">
        <v>137</v>
      </c>
      <c r="G35" s="2" t="s">
        <v>4135</v>
      </c>
    </row>
    <row r="36" spans="1:7" x14ac:dyDescent="0.25">
      <c r="A36" s="24" t="s">
        <v>2157</v>
      </c>
      <c r="B36" s="2" t="s">
        <v>131</v>
      </c>
      <c r="C36" s="2" t="s">
        <v>559</v>
      </c>
      <c r="D36" s="2" t="s">
        <v>558</v>
      </c>
      <c r="E36" s="2" t="s">
        <v>519</v>
      </c>
      <c r="F36" s="2" t="s">
        <v>4136</v>
      </c>
      <c r="G36" s="2" t="s">
        <v>4137</v>
      </c>
    </row>
    <row r="37" spans="1:7" x14ac:dyDescent="0.25">
      <c r="A37" s="24" t="s">
        <v>2158</v>
      </c>
      <c r="B37" s="2" t="s">
        <v>131</v>
      </c>
      <c r="C37" s="2" t="s">
        <v>343</v>
      </c>
      <c r="D37" s="2" t="s">
        <v>342</v>
      </c>
      <c r="E37" s="2" t="s">
        <v>135</v>
      </c>
      <c r="F37" s="2" t="s">
        <v>344</v>
      </c>
      <c r="G37" s="2" t="s">
        <v>4138</v>
      </c>
    </row>
    <row r="38" spans="1:7" x14ac:dyDescent="0.25">
      <c r="A38" s="24" t="s">
        <v>2159</v>
      </c>
      <c r="B38" s="2" t="s">
        <v>131</v>
      </c>
      <c r="C38" s="2" t="s">
        <v>347</v>
      </c>
      <c r="D38" s="2" t="s">
        <v>345</v>
      </c>
      <c r="E38" s="2" t="s">
        <v>346</v>
      </c>
      <c r="F38" s="2" t="s">
        <v>348</v>
      </c>
      <c r="G38" s="2" t="s">
        <v>4139</v>
      </c>
    </row>
    <row r="39" spans="1:7" x14ac:dyDescent="0.25">
      <c r="A39" s="24" t="s">
        <v>2160</v>
      </c>
      <c r="B39" s="2" t="s">
        <v>131</v>
      </c>
      <c r="C39" s="2" t="s">
        <v>4140</v>
      </c>
      <c r="D39" s="2" t="s">
        <v>872</v>
      </c>
      <c r="E39" s="2" t="s">
        <v>143</v>
      </c>
      <c r="F39" s="2" t="s">
        <v>4141</v>
      </c>
      <c r="G39" s="2" t="s">
        <v>4142</v>
      </c>
    </row>
    <row r="40" spans="1:7" x14ac:dyDescent="0.25">
      <c r="A40" s="24" t="s">
        <v>2161</v>
      </c>
      <c r="B40" s="2" t="s">
        <v>131</v>
      </c>
      <c r="C40" s="2" t="s">
        <v>390</v>
      </c>
      <c r="D40" s="2" t="s">
        <v>389</v>
      </c>
      <c r="E40" s="2" t="s">
        <v>158</v>
      </c>
      <c r="F40" s="2" t="s">
        <v>4143</v>
      </c>
      <c r="G40" s="2" t="s">
        <v>4144</v>
      </c>
    </row>
    <row r="41" spans="1:7" x14ac:dyDescent="0.25">
      <c r="A41" s="24" t="s">
        <v>2162</v>
      </c>
      <c r="B41" s="2" t="s">
        <v>131</v>
      </c>
      <c r="C41" s="2" t="s">
        <v>418</v>
      </c>
      <c r="D41" s="2" t="s">
        <v>417</v>
      </c>
      <c r="E41" s="2" t="s">
        <v>191</v>
      </c>
      <c r="F41" s="2" t="s">
        <v>4145</v>
      </c>
      <c r="G41" s="2" t="s">
        <v>4146</v>
      </c>
    </row>
    <row r="42" spans="1:7" x14ac:dyDescent="0.25">
      <c r="A42" s="24" t="s">
        <v>2163</v>
      </c>
      <c r="B42" s="2" t="s">
        <v>131</v>
      </c>
      <c r="C42" s="2" t="s">
        <v>420</v>
      </c>
      <c r="D42" s="2" t="s">
        <v>419</v>
      </c>
      <c r="E42" s="2" t="s">
        <v>191</v>
      </c>
      <c r="F42" s="2" t="s">
        <v>4147</v>
      </c>
      <c r="G42" s="2" t="s">
        <v>4148</v>
      </c>
    </row>
    <row r="43" spans="1:7" x14ac:dyDescent="0.25">
      <c r="A43" s="24" t="s">
        <v>2164</v>
      </c>
      <c r="B43" s="2" t="s">
        <v>131</v>
      </c>
      <c r="C43" s="2" t="s">
        <v>483</v>
      </c>
      <c r="D43" s="2" t="s">
        <v>481</v>
      </c>
      <c r="E43" s="2" t="s">
        <v>482</v>
      </c>
      <c r="F43" s="2" t="s">
        <v>4149</v>
      </c>
      <c r="G43" s="2" t="s">
        <v>4150</v>
      </c>
    </row>
    <row r="44" spans="1:7" x14ac:dyDescent="0.25">
      <c r="A44" s="24" t="s">
        <v>2165</v>
      </c>
      <c r="B44" s="2" t="s">
        <v>131</v>
      </c>
      <c r="C44" s="2" t="s">
        <v>725</v>
      </c>
      <c r="D44" s="2" t="s">
        <v>873</v>
      </c>
      <c r="E44" s="2" t="s">
        <v>482</v>
      </c>
      <c r="F44" s="2" t="s">
        <v>726</v>
      </c>
      <c r="G44" s="2" t="s">
        <v>4151</v>
      </c>
    </row>
    <row r="45" spans="1:7" x14ac:dyDescent="0.25">
      <c r="A45" s="24" t="s">
        <v>2166</v>
      </c>
      <c r="B45" s="2" t="s">
        <v>131</v>
      </c>
      <c r="C45" s="2" t="s">
        <v>4152</v>
      </c>
      <c r="D45" s="2" t="s">
        <v>874</v>
      </c>
      <c r="E45" s="2" t="s">
        <v>327</v>
      </c>
      <c r="F45" s="2" t="s">
        <v>4153</v>
      </c>
      <c r="G45" s="2" t="s">
        <v>4154</v>
      </c>
    </row>
    <row r="46" spans="1:7" x14ac:dyDescent="0.25">
      <c r="A46" s="24" t="s">
        <v>2167</v>
      </c>
      <c r="B46" s="2" t="s">
        <v>131</v>
      </c>
      <c r="C46" s="2" t="s">
        <v>432</v>
      </c>
      <c r="D46" s="2" t="s">
        <v>430</v>
      </c>
      <c r="E46" s="2" t="s">
        <v>431</v>
      </c>
      <c r="F46" s="2" t="s">
        <v>4155</v>
      </c>
      <c r="G46" s="2" t="s">
        <v>4156</v>
      </c>
    </row>
    <row r="47" spans="1:7" x14ac:dyDescent="0.25">
      <c r="A47" s="24" t="s">
        <v>2168</v>
      </c>
      <c r="B47" s="2" t="s">
        <v>131</v>
      </c>
      <c r="C47" s="2" t="s">
        <v>378</v>
      </c>
      <c r="D47" s="2" t="s">
        <v>377</v>
      </c>
      <c r="E47" s="2" t="s">
        <v>373</v>
      </c>
      <c r="F47" s="2" t="s">
        <v>4157</v>
      </c>
      <c r="G47" s="2" t="s">
        <v>4158</v>
      </c>
    </row>
    <row r="48" spans="1:7" x14ac:dyDescent="0.25">
      <c r="A48" s="24" t="s">
        <v>2169</v>
      </c>
      <c r="B48" s="2" t="s">
        <v>131</v>
      </c>
      <c r="C48" s="2" t="s">
        <v>380</v>
      </c>
      <c r="D48" s="2" t="s">
        <v>379</v>
      </c>
      <c r="E48" s="2" t="s">
        <v>373</v>
      </c>
      <c r="F48" s="2" t="s">
        <v>4159</v>
      </c>
      <c r="G48" s="2" t="s">
        <v>4160</v>
      </c>
    </row>
    <row r="49" spans="1:7" x14ac:dyDescent="0.25">
      <c r="A49" s="24" t="s">
        <v>2170</v>
      </c>
      <c r="B49" s="2" t="s">
        <v>131</v>
      </c>
      <c r="C49" s="2" t="s">
        <v>382</v>
      </c>
      <c r="D49" s="2" t="s">
        <v>381</v>
      </c>
      <c r="E49" s="2" t="s">
        <v>373</v>
      </c>
      <c r="F49" s="2" t="s">
        <v>4161</v>
      </c>
      <c r="G49" s="2" t="s">
        <v>4162</v>
      </c>
    </row>
    <row r="50" spans="1:7" x14ac:dyDescent="0.25">
      <c r="A50" s="24" t="s">
        <v>2171</v>
      </c>
      <c r="B50" s="2" t="s">
        <v>131</v>
      </c>
      <c r="C50" s="2" t="s">
        <v>525</v>
      </c>
      <c r="D50" s="2" t="s">
        <v>524</v>
      </c>
      <c r="E50" s="2" t="s">
        <v>522</v>
      </c>
      <c r="F50" s="2" t="s">
        <v>4163</v>
      </c>
      <c r="G50" s="2" t="s">
        <v>4164</v>
      </c>
    </row>
    <row r="51" spans="1:7" x14ac:dyDescent="0.25">
      <c r="A51" s="24" t="s">
        <v>2172</v>
      </c>
      <c r="B51" s="2" t="s">
        <v>131</v>
      </c>
      <c r="C51" s="2" t="s">
        <v>758</v>
      </c>
      <c r="D51" s="2" t="s">
        <v>875</v>
      </c>
      <c r="E51" s="2" t="s">
        <v>311</v>
      </c>
      <c r="F51" s="2" t="s">
        <v>759</v>
      </c>
      <c r="G51" s="2" t="s">
        <v>4165</v>
      </c>
    </row>
    <row r="52" spans="1:7" x14ac:dyDescent="0.25">
      <c r="A52" s="24" t="s">
        <v>2173</v>
      </c>
      <c r="B52" s="2" t="s">
        <v>131</v>
      </c>
      <c r="C52" s="2" t="s">
        <v>523</v>
      </c>
      <c r="D52" s="2" t="s">
        <v>521</v>
      </c>
      <c r="E52" s="2" t="s">
        <v>522</v>
      </c>
      <c r="F52" s="2" t="s">
        <v>4166</v>
      </c>
      <c r="G52" s="2" t="s">
        <v>4167</v>
      </c>
    </row>
    <row r="53" spans="1:7" x14ac:dyDescent="0.25">
      <c r="A53" s="24" t="s">
        <v>2174</v>
      </c>
      <c r="B53" s="2" t="s">
        <v>131</v>
      </c>
      <c r="C53" s="2" t="s">
        <v>754</v>
      </c>
      <c r="D53" s="2" t="s">
        <v>876</v>
      </c>
      <c r="E53" s="2" t="s">
        <v>266</v>
      </c>
      <c r="F53" s="2" t="s">
        <v>755</v>
      </c>
      <c r="G53" s="2" t="s">
        <v>4168</v>
      </c>
    </row>
    <row r="54" spans="1:7" x14ac:dyDescent="0.25">
      <c r="A54" s="24" t="s">
        <v>2175</v>
      </c>
      <c r="B54" s="2" t="s">
        <v>131</v>
      </c>
      <c r="C54" s="2" t="s">
        <v>561</v>
      </c>
      <c r="D54" s="2" t="s">
        <v>560</v>
      </c>
      <c r="E54" s="2" t="s">
        <v>346</v>
      </c>
      <c r="F54" s="2" t="s">
        <v>4169</v>
      </c>
      <c r="G54" s="2" t="s">
        <v>4170</v>
      </c>
    </row>
    <row r="55" spans="1:7" x14ac:dyDescent="0.25">
      <c r="A55" s="24" t="s">
        <v>2176</v>
      </c>
      <c r="B55" s="2" t="s">
        <v>131</v>
      </c>
      <c r="C55" s="2" t="s">
        <v>745</v>
      </c>
      <c r="D55" s="2" t="s">
        <v>877</v>
      </c>
      <c r="E55" s="2" t="s">
        <v>346</v>
      </c>
      <c r="F55" s="2" t="s">
        <v>746</v>
      </c>
      <c r="G55" s="2" t="s">
        <v>4171</v>
      </c>
    </row>
    <row r="56" spans="1:7" x14ac:dyDescent="0.25">
      <c r="A56" s="24" t="s">
        <v>2177</v>
      </c>
      <c r="B56" s="2" t="s">
        <v>131</v>
      </c>
      <c r="C56" s="2" t="s">
        <v>451</v>
      </c>
      <c r="D56" s="2" t="s">
        <v>450</v>
      </c>
      <c r="E56" s="2" t="s">
        <v>247</v>
      </c>
      <c r="F56" s="2" t="s">
        <v>4172</v>
      </c>
      <c r="G56" s="2" t="s">
        <v>4173</v>
      </c>
    </row>
    <row r="57" spans="1:7" x14ac:dyDescent="0.25">
      <c r="A57" s="24" t="s">
        <v>2178</v>
      </c>
      <c r="B57" s="2" t="s">
        <v>131</v>
      </c>
      <c r="C57" s="2" t="s">
        <v>155</v>
      </c>
      <c r="D57" s="2" t="s">
        <v>153</v>
      </c>
      <c r="E57" s="2" t="s">
        <v>154</v>
      </c>
      <c r="F57" s="2" t="s">
        <v>156</v>
      </c>
      <c r="G57" s="2" t="s">
        <v>4176</v>
      </c>
    </row>
    <row r="58" spans="1:7" x14ac:dyDescent="0.25">
      <c r="A58" s="24" t="s">
        <v>2179</v>
      </c>
      <c r="B58" s="2" t="s">
        <v>131</v>
      </c>
      <c r="C58" s="2" t="s">
        <v>155</v>
      </c>
      <c r="D58" s="2" t="s">
        <v>153</v>
      </c>
      <c r="E58" s="2" t="s">
        <v>368</v>
      </c>
      <c r="F58" s="2" t="s">
        <v>4174</v>
      </c>
      <c r="G58" s="2" t="s">
        <v>4175</v>
      </c>
    </row>
    <row r="59" spans="1:7" x14ac:dyDescent="0.25">
      <c r="A59" s="24" t="s">
        <v>2180</v>
      </c>
      <c r="B59" s="2" t="s">
        <v>131</v>
      </c>
      <c r="C59" s="2" t="s">
        <v>4177</v>
      </c>
      <c r="D59" s="2" t="s">
        <v>878</v>
      </c>
      <c r="E59" s="2" t="s">
        <v>589</v>
      </c>
      <c r="F59" s="2" t="s">
        <v>4178</v>
      </c>
      <c r="G59" s="2" t="s">
        <v>4179</v>
      </c>
    </row>
    <row r="60" spans="1:7" x14ac:dyDescent="0.25">
      <c r="A60" s="24" t="s">
        <v>2181</v>
      </c>
      <c r="B60" s="2" t="s">
        <v>131</v>
      </c>
      <c r="C60" s="2" t="s">
        <v>388</v>
      </c>
      <c r="D60" s="2" t="s">
        <v>387</v>
      </c>
      <c r="E60" s="2" t="s">
        <v>158</v>
      </c>
      <c r="F60" s="2" t="s">
        <v>4180</v>
      </c>
      <c r="G60" s="2" t="s">
        <v>4181</v>
      </c>
    </row>
    <row r="61" spans="1:7" x14ac:dyDescent="0.25">
      <c r="A61" s="24" t="s">
        <v>2182</v>
      </c>
      <c r="B61" s="2" t="s">
        <v>131</v>
      </c>
      <c r="C61" s="2" t="s">
        <v>768</v>
      </c>
      <c r="D61" s="2" t="s">
        <v>879</v>
      </c>
      <c r="E61" s="2" t="s">
        <v>158</v>
      </c>
      <c r="F61" s="2" t="s">
        <v>769</v>
      </c>
      <c r="G61" s="2" t="s">
        <v>4182</v>
      </c>
    </row>
    <row r="62" spans="1:7" x14ac:dyDescent="0.25">
      <c r="A62" s="24" t="s">
        <v>2183</v>
      </c>
      <c r="B62" s="2" t="s">
        <v>131</v>
      </c>
      <c r="C62" s="2" t="s">
        <v>293</v>
      </c>
      <c r="D62" s="2" t="s">
        <v>292</v>
      </c>
      <c r="E62" s="2" t="s">
        <v>286</v>
      </c>
      <c r="F62" s="2" t="s">
        <v>294</v>
      </c>
      <c r="G62" s="2" t="s">
        <v>4183</v>
      </c>
    </row>
    <row r="63" spans="1:7" x14ac:dyDescent="0.25">
      <c r="A63" s="24" t="s">
        <v>2184</v>
      </c>
      <c r="B63" s="2" t="s">
        <v>131</v>
      </c>
      <c r="C63" s="2" t="s">
        <v>425</v>
      </c>
      <c r="D63" s="2" t="s">
        <v>424</v>
      </c>
      <c r="E63" s="2" t="s">
        <v>422</v>
      </c>
      <c r="F63" s="2" t="s">
        <v>4184</v>
      </c>
      <c r="G63" s="2" t="s">
        <v>4185</v>
      </c>
    </row>
    <row r="64" spans="1:7" x14ac:dyDescent="0.25">
      <c r="A64" s="24" t="s">
        <v>2185</v>
      </c>
      <c r="B64" s="2" t="s">
        <v>131</v>
      </c>
      <c r="C64" s="2" t="s">
        <v>224</v>
      </c>
      <c r="D64" s="2" t="s">
        <v>223</v>
      </c>
      <c r="E64" s="2" t="s">
        <v>211</v>
      </c>
      <c r="F64" s="2" t="s">
        <v>225</v>
      </c>
      <c r="G64" s="2" t="s">
        <v>4186</v>
      </c>
    </row>
    <row r="65" spans="1:7" x14ac:dyDescent="0.25">
      <c r="A65" s="24" t="s">
        <v>2186</v>
      </c>
      <c r="B65" s="2" t="s">
        <v>131</v>
      </c>
      <c r="C65" s="2" t="s">
        <v>719</v>
      </c>
      <c r="D65" s="2" t="s">
        <v>880</v>
      </c>
      <c r="E65" s="2" t="s">
        <v>191</v>
      </c>
      <c r="F65" s="2" t="s">
        <v>720</v>
      </c>
      <c r="G65" s="2" t="s">
        <v>4187</v>
      </c>
    </row>
    <row r="66" spans="1:7" x14ac:dyDescent="0.25">
      <c r="A66" s="24" t="s">
        <v>2187</v>
      </c>
      <c r="B66" s="2" t="s">
        <v>131</v>
      </c>
      <c r="C66" s="2" t="s">
        <v>195</v>
      </c>
      <c r="D66" s="2" t="s">
        <v>194</v>
      </c>
      <c r="E66" s="2" t="s">
        <v>191</v>
      </c>
      <c r="F66" s="2" t="s">
        <v>196</v>
      </c>
      <c r="G66" s="2" t="s">
        <v>4188</v>
      </c>
    </row>
    <row r="67" spans="1:7" x14ac:dyDescent="0.25">
      <c r="A67" s="24" t="s">
        <v>2188</v>
      </c>
      <c r="B67" s="2" t="s">
        <v>131</v>
      </c>
      <c r="C67" s="2" t="s">
        <v>227</v>
      </c>
      <c r="D67" s="2" t="s">
        <v>226</v>
      </c>
      <c r="E67" s="2" t="s">
        <v>211</v>
      </c>
      <c r="F67" s="2" t="s">
        <v>228</v>
      </c>
      <c r="G67" s="2" t="s">
        <v>4189</v>
      </c>
    </row>
    <row r="68" spans="1:7" x14ac:dyDescent="0.25">
      <c r="A68" s="24" t="s">
        <v>2189</v>
      </c>
      <c r="B68" s="2" t="s">
        <v>131</v>
      </c>
      <c r="C68" s="2" t="s">
        <v>376</v>
      </c>
      <c r="D68" s="2" t="s">
        <v>375</v>
      </c>
      <c r="E68" s="2" t="s">
        <v>373</v>
      </c>
      <c r="F68" s="2" t="s">
        <v>4190</v>
      </c>
      <c r="G68" s="2" t="s">
        <v>4191</v>
      </c>
    </row>
    <row r="69" spans="1:7" x14ac:dyDescent="0.25">
      <c r="A69" s="24" t="s">
        <v>2190</v>
      </c>
      <c r="B69" s="2" t="s">
        <v>131</v>
      </c>
      <c r="C69" s="2" t="s">
        <v>703</v>
      </c>
      <c r="D69" s="2" t="s">
        <v>881</v>
      </c>
      <c r="E69" s="2" t="s">
        <v>139</v>
      </c>
      <c r="F69" s="2" t="s">
        <v>704</v>
      </c>
      <c r="G69" s="2" t="s">
        <v>4192</v>
      </c>
    </row>
    <row r="70" spans="1:7" x14ac:dyDescent="0.25">
      <c r="A70" s="24" t="s">
        <v>2191</v>
      </c>
      <c r="B70" s="2" t="s">
        <v>131</v>
      </c>
      <c r="C70" s="2" t="s">
        <v>4193</v>
      </c>
      <c r="D70" s="2" t="s">
        <v>882</v>
      </c>
      <c r="E70" s="2" t="s">
        <v>247</v>
      </c>
      <c r="F70" s="2" t="s">
        <v>4194</v>
      </c>
      <c r="G70" s="2" t="s">
        <v>4195</v>
      </c>
    </row>
    <row r="71" spans="1:7" x14ac:dyDescent="0.25">
      <c r="A71" s="24" t="s">
        <v>2192</v>
      </c>
      <c r="B71" s="2" t="s">
        <v>131</v>
      </c>
      <c r="C71" s="2" t="s">
        <v>543</v>
      </c>
      <c r="D71" s="2" t="s">
        <v>542</v>
      </c>
      <c r="E71" s="2" t="s">
        <v>237</v>
      </c>
      <c r="F71" s="2" t="s">
        <v>4196</v>
      </c>
      <c r="G71" s="2" t="s">
        <v>4197</v>
      </c>
    </row>
    <row r="72" spans="1:7" x14ac:dyDescent="0.25">
      <c r="A72" s="24" t="s">
        <v>2193</v>
      </c>
      <c r="B72" s="2" t="s">
        <v>131</v>
      </c>
      <c r="C72" s="2" t="s">
        <v>492</v>
      </c>
      <c r="D72" s="2" t="s">
        <v>490</v>
      </c>
      <c r="E72" s="2" t="s">
        <v>491</v>
      </c>
      <c r="F72" s="2" t="s">
        <v>4198</v>
      </c>
      <c r="G72" s="2" t="s">
        <v>4199</v>
      </c>
    </row>
    <row r="73" spans="1:7" x14ac:dyDescent="0.25">
      <c r="A73" s="24" t="s">
        <v>2194</v>
      </c>
      <c r="B73" s="2" t="s">
        <v>131</v>
      </c>
      <c r="C73" s="2" t="s">
        <v>4200</v>
      </c>
      <c r="D73" s="2" t="s">
        <v>883</v>
      </c>
      <c r="E73" s="2" t="s">
        <v>135</v>
      </c>
      <c r="F73" s="2" t="s">
        <v>4201</v>
      </c>
      <c r="G73" s="2" t="s">
        <v>4202</v>
      </c>
    </row>
    <row r="74" spans="1:7" x14ac:dyDescent="0.25">
      <c r="A74" s="24" t="s">
        <v>2195</v>
      </c>
      <c r="B74" s="2" t="s">
        <v>131</v>
      </c>
      <c r="C74" s="2" t="s">
        <v>4203</v>
      </c>
      <c r="D74" s="2" t="s">
        <v>884</v>
      </c>
      <c r="E74" s="2" t="s">
        <v>135</v>
      </c>
      <c r="F74" s="2" t="s">
        <v>4204</v>
      </c>
      <c r="G74" s="2" t="s">
        <v>4205</v>
      </c>
    </row>
    <row r="75" spans="1:7" x14ac:dyDescent="0.25">
      <c r="A75" s="24" t="s">
        <v>2196</v>
      </c>
      <c r="B75" s="2" t="s">
        <v>131</v>
      </c>
      <c r="C75" s="2" t="s">
        <v>299</v>
      </c>
      <c r="D75" s="2" t="s">
        <v>298</v>
      </c>
      <c r="E75" s="2" t="s">
        <v>135</v>
      </c>
      <c r="F75" s="2" t="s">
        <v>300</v>
      </c>
      <c r="G75" s="2" t="s">
        <v>4206</v>
      </c>
    </row>
    <row r="76" spans="1:7" x14ac:dyDescent="0.25">
      <c r="A76" s="24" t="s">
        <v>2197</v>
      </c>
      <c r="B76" s="2" t="s">
        <v>131</v>
      </c>
      <c r="C76" s="2" t="s">
        <v>296</v>
      </c>
      <c r="D76" s="2" t="s">
        <v>295</v>
      </c>
      <c r="E76" s="2" t="s">
        <v>211</v>
      </c>
      <c r="F76" s="2" t="s">
        <v>297</v>
      </c>
      <c r="G76" s="2" t="s">
        <v>4207</v>
      </c>
    </row>
    <row r="77" spans="1:7" x14ac:dyDescent="0.25">
      <c r="A77" s="24" t="s">
        <v>2198</v>
      </c>
      <c r="B77" s="2" t="s">
        <v>131</v>
      </c>
      <c r="C77" s="2" t="s">
        <v>423</v>
      </c>
      <c r="D77" s="2" t="s">
        <v>421</v>
      </c>
      <c r="E77" s="2" t="s">
        <v>422</v>
      </c>
      <c r="F77" s="2" t="s">
        <v>4208</v>
      </c>
      <c r="G77" s="2" t="s">
        <v>4209</v>
      </c>
    </row>
    <row r="78" spans="1:7" x14ac:dyDescent="0.25">
      <c r="A78" s="24" t="s">
        <v>2199</v>
      </c>
      <c r="B78" s="2" t="s">
        <v>131</v>
      </c>
      <c r="C78" s="2" t="s">
        <v>234</v>
      </c>
      <c r="D78" s="2" t="s">
        <v>232</v>
      </c>
      <c r="E78" s="2" t="s">
        <v>233</v>
      </c>
      <c r="F78" s="2" t="s">
        <v>235</v>
      </c>
      <c r="G78" s="2" t="s">
        <v>4210</v>
      </c>
    </row>
    <row r="79" spans="1:7" x14ac:dyDescent="0.25">
      <c r="A79" s="24" t="s">
        <v>2200</v>
      </c>
      <c r="B79" s="2" t="s">
        <v>131</v>
      </c>
      <c r="C79" s="2" t="s">
        <v>508</v>
      </c>
      <c r="D79" s="2" t="s">
        <v>507</v>
      </c>
      <c r="E79" s="2" t="s">
        <v>273</v>
      </c>
      <c r="F79" s="2" t="s">
        <v>4211</v>
      </c>
      <c r="G79" s="2" t="s">
        <v>4212</v>
      </c>
    </row>
    <row r="80" spans="1:7" x14ac:dyDescent="0.25">
      <c r="A80" s="24" t="s">
        <v>2201</v>
      </c>
      <c r="B80" s="2" t="s">
        <v>131</v>
      </c>
      <c r="C80" s="2" t="s">
        <v>263</v>
      </c>
      <c r="D80" s="2" t="s">
        <v>262</v>
      </c>
      <c r="E80" s="2" t="s">
        <v>247</v>
      </c>
      <c r="F80" s="2" t="s">
        <v>264</v>
      </c>
      <c r="G80" s="2" t="s">
        <v>4213</v>
      </c>
    </row>
    <row r="81" spans="1:7" x14ac:dyDescent="0.25">
      <c r="A81" s="24" t="s">
        <v>2202</v>
      </c>
      <c r="B81" s="2" t="s">
        <v>131</v>
      </c>
      <c r="C81" s="2" t="s">
        <v>263</v>
      </c>
      <c r="D81" s="2" t="s">
        <v>262</v>
      </c>
      <c r="E81" s="2" t="s">
        <v>247</v>
      </c>
      <c r="F81" s="2" t="s">
        <v>4214</v>
      </c>
      <c r="G81" s="2" t="s">
        <v>4215</v>
      </c>
    </row>
    <row r="82" spans="1:7" x14ac:dyDescent="0.25">
      <c r="A82" s="24" t="s">
        <v>2203</v>
      </c>
      <c r="B82" s="2" t="s">
        <v>131</v>
      </c>
      <c r="C82" s="2" t="s">
        <v>512</v>
      </c>
      <c r="D82" s="2" t="s">
        <v>511</v>
      </c>
      <c r="E82" s="2" t="s">
        <v>273</v>
      </c>
      <c r="F82" s="2" t="s">
        <v>4216</v>
      </c>
      <c r="G82" s="2" t="s">
        <v>4217</v>
      </c>
    </row>
    <row r="83" spans="1:7" x14ac:dyDescent="0.25">
      <c r="A83" s="24" t="s">
        <v>2204</v>
      </c>
      <c r="B83" s="2" t="s">
        <v>131</v>
      </c>
      <c r="C83" s="2" t="s">
        <v>4218</v>
      </c>
      <c r="D83" s="2" t="s">
        <v>885</v>
      </c>
      <c r="E83" s="2" t="s">
        <v>247</v>
      </c>
      <c r="F83" s="2" t="s">
        <v>4219</v>
      </c>
      <c r="G83" s="2" t="s">
        <v>4220</v>
      </c>
    </row>
    <row r="84" spans="1:7" x14ac:dyDescent="0.25">
      <c r="A84" s="24" t="s">
        <v>2204</v>
      </c>
      <c r="B84" s="2" t="s">
        <v>131</v>
      </c>
      <c r="C84" s="2" t="s">
        <v>4218</v>
      </c>
      <c r="D84" s="2" t="s">
        <v>885</v>
      </c>
      <c r="E84" s="2" t="s">
        <v>135</v>
      </c>
      <c r="F84" s="2" t="s">
        <v>4219</v>
      </c>
      <c r="G84" s="2" t="s">
        <v>4220</v>
      </c>
    </row>
    <row r="85" spans="1:7" x14ac:dyDescent="0.25">
      <c r="A85" s="24" t="s">
        <v>2205</v>
      </c>
      <c r="B85" s="2" t="s">
        <v>131</v>
      </c>
      <c r="C85" s="2" t="s">
        <v>427</v>
      </c>
      <c r="D85" s="2" t="s">
        <v>426</v>
      </c>
      <c r="E85" s="2" t="s">
        <v>422</v>
      </c>
      <c r="F85" s="2" t="s">
        <v>4221</v>
      </c>
      <c r="G85" s="2" t="s">
        <v>4222</v>
      </c>
    </row>
    <row r="86" spans="1:7" x14ac:dyDescent="0.25">
      <c r="A86" s="24" t="s">
        <v>2206</v>
      </c>
      <c r="B86" s="2" t="s">
        <v>131</v>
      </c>
      <c r="C86" s="2" t="s">
        <v>334</v>
      </c>
      <c r="D86" s="2" t="s">
        <v>333</v>
      </c>
      <c r="E86" s="2" t="s">
        <v>233</v>
      </c>
      <c r="F86" s="2" t="s">
        <v>335</v>
      </c>
      <c r="G86" s="2" t="s">
        <v>4223</v>
      </c>
    </row>
    <row r="87" spans="1:7" x14ac:dyDescent="0.25">
      <c r="A87" s="24" t="s">
        <v>2207</v>
      </c>
      <c r="B87" s="2" t="s">
        <v>131</v>
      </c>
      <c r="C87" s="2" t="s">
        <v>406</v>
      </c>
      <c r="D87" s="2" t="s">
        <v>405</v>
      </c>
      <c r="E87" s="2" t="s">
        <v>174</v>
      </c>
      <c r="F87" s="2" t="s">
        <v>4224</v>
      </c>
      <c r="G87" s="2" t="s">
        <v>4225</v>
      </c>
    </row>
    <row r="88" spans="1:7" x14ac:dyDescent="0.25">
      <c r="A88" s="24" t="s">
        <v>2208</v>
      </c>
      <c r="B88" s="2" t="s">
        <v>131</v>
      </c>
      <c r="C88" s="2" t="s">
        <v>408</v>
      </c>
      <c r="D88" s="2" t="s">
        <v>407</v>
      </c>
      <c r="E88" s="2" t="s">
        <v>174</v>
      </c>
      <c r="F88" s="2" t="s">
        <v>4226</v>
      </c>
      <c r="G88" s="2" t="s">
        <v>4227</v>
      </c>
    </row>
    <row r="89" spans="1:7" x14ac:dyDescent="0.25">
      <c r="A89" s="24" t="s">
        <v>2209</v>
      </c>
      <c r="B89" s="2" t="s">
        <v>131</v>
      </c>
      <c r="C89" s="2" t="s">
        <v>717</v>
      </c>
      <c r="D89" s="2" t="s">
        <v>886</v>
      </c>
      <c r="E89" s="2" t="s">
        <v>174</v>
      </c>
      <c r="F89" s="2" t="s">
        <v>718</v>
      </c>
      <c r="G89" s="2" t="s">
        <v>4228</v>
      </c>
    </row>
    <row r="90" spans="1:7" x14ac:dyDescent="0.25">
      <c r="A90" s="24" t="s">
        <v>2210</v>
      </c>
      <c r="B90" s="2" t="s">
        <v>131</v>
      </c>
      <c r="C90" s="2" t="s">
        <v>4229</v>
      </c>
      <c r="D90" s="2" t="s">
        <v>4591</v>
      </c>
      <c r="E90" s="2" t="s">
        <v>174</v>
      </c>
      <c r="F90" s="2" t="s">
        <v>4230</v>
      </c>
      <c r="G90" s="2" t="s">
        <v>4231</v>
      </c>
    </row>
    <row r="91" spans="1:7" x14ac:dyDescent="0.25">
      <c r="A91" s="24" t="s">
        <v>2211</v>
      </c>
      <c r="B91" s="2" t="s">
        <v>131</v>
      </c>
      <c r="C91" s="2" t="s">
        <v>447</v>
      </c>
      <c r="D91" s="2" t="s">
        <v>445</v>
      </c>
      <c r="E91" s="2" t="s">
        <v>446</v>
      </c>
      <c r="F91" s="2" t="s">
        <v>4232</v>
      </c>
      <c r="G91" s="2" t="s">
        <v>4233</v>
      </c>
    </row>
    <row r="92" spans="1:7" x14ac:dyDescent="0.25">
      <c r="A92" s="24" t="s">
        <v>2212</v>
      </c>
      <c r="B92" s="2" t="s">
        <v>131</v>
      </c>
      <c r="C92" s="2" t="s">
        <v>533</v>
      </c>
      <c r="D92" s="2" t="s">
        <v>532</v>
      </c>
      <c r="E92" s="2" t="s">
        <v>446</v>
      </c>
      <c r="F92" s="2" t="s">
        <v>4234</v>
      </c>
      <c r="G92" s="2" t="s">
        <v>4235</v>
      </c>
    </row>
    <row r="93" spans="1:7" x14ac:dyDescent="0.25">
      <c r="A93" s="24" t="s">
        <v>2213</v>
      </c>
      <c r="B93" s="2" t="s">
        <v>131</v>
      </c>
      <c r="C93" s="2" t="s">
        <v>600</v>
      </c>
      <c r="D93" s="2" t="s">
        <v>599</v>
      </c>
      <c r="E93" s="2" t="s">
        <v>266</v>
      </c>
      <c r="F93" s="2" t="s">
        <v>4236</v>
      </c>
      <c r="G93" s="2" t="s">
        <v>4237</v>
      </c>
    </row>
    <row r="94" spans="1:7" x14ac:dyDescent="0.25">
      <c r="A94" s="24" t="s">
        <v>2214</v>
      </c>
      <c r="B94" s="2" t="s">
        <v>131</v>
      </c>
      <c r="C94" s="2" t="s">
        <v>616</v>
      </c>
      <c r="D94" s="2" t="s">
        <v>615</v>
      </c>
      <c r="E94" s="2" t="s">
        <v>311</v>
      </c>
      <c r="F94" s="2" t="s">
        <v>4238</v>
      </c>
      <c r="G94" s="2" t="s">
        <v>4239</v>
      </c>
    </row>
    <row r="95" spans="1:7" x14ac:dyDescent="0.25">
      <c r="A95" s="24" t="s">
        <v>2215</v>
      </c>
      <c r="B95" s="2" t="s">
        <v>131</v>
      </c>
      <c r="C95" s="2" t="s">
        <v>545</v>
      </c>
      <c r="D95" s="2" t="s">
        <v>544</v>
      </c>
      <c r="E95" s="2" t="s">
        <v>237</v>
      </c>
      <c r="F95" s="2" t="s">
        <v>4240</v>
      </c>
      <c r="G95" s="2" t="s">
        <v>4241</v>
      </c>
    </row>
    <row r="96" spans="1:7" x14ac:dyDescent="0.25">
      <c r="A96" s="24" t="s">
        <v>2216</v>
      </c>
      <c r="B96" s="2" t="s">
        <v>131</v>
      </c>
      <c r="C96" s="2" t="s">
        <v>4242</v>
      </c>
      <c r="D96" s="2" t="s">
        <v>4592</v>
      </c>
      <c r="E96" s="2" t="s">
        <v>311</v>
      </c>
      <c r="F96" s="2" t="s">
        <v>4243</v>
      </c>
      <c r="G96" s="2" t="s">
        <v>4244</v>
      </c>
    </row>
    <row r="97" spans="1:7" x14ac:dyDescent="0.25">
      <c r="A97" s="24" t="s">
        <v>2217</v>
      </c>
      <c r="B97" s="2" t="s">
        <v>131</v>
      </c>
      <c r="C97" s="2" t="s">
        <v>340</v>
      </c>
      <c r="D97" s="2" t="s">
        <v>339</v>
      </c>
      <c r="E97" s="2" t="s">
        <v>237</v>
      </c>
      <c r="F97" s="2" t="s">
        <v>341</v>
      </c>
      <c r="G97" s="2" t="s">
        <v>4245</v>
      </c>
    </row>
    <row r="98" spans="1:7" x14ac:dyDescent="0.25">
      <c r="A98" s="24" t="s">
        <v>2218</v>
      </c>
      <c r="B98" s="2" t="s">
        <v>131</v>
      </c>
      <c r="C98" s="2" t="s">
        <v>547</v>
      </c>
      <c r="D98" s="2" t="s">
        <v>546</v>
      </c>
      <c r="E98" s="2" t="s">
        <v>237</v>
      </c>
      <c r="F98" s="2" t="s">
        <v>4246</v>
      </c>
      <c r="G98" s="2" t="s">
        <v>4247</v>
      </c>
    </row>
    <row r="99" spans="1:7" x14ac:dyDescent="0.25">
      <c r="A99" s="24" t="s">
        <v>2219</v>
      </c>
      <c r="B99" s="2" t="s">
        <v>131</v>
      </c>
      <c r="C99" s="2" t="s">
        <v>549</v>
      </c>
      <c r="D99" s="2" t="s">
        <v>548</v>
      </c>
      <c r="E99" s="2" t="s">
        <v>237</v>
      </c>
      <c r="F99" s="2" t="s">
        <v>4248</v>
      </c>
      <c r="G99" s="2" t="s">
        <v>4249</v>
      </c>
    </row>
    <row r="100" spans="1:7" x14ac:dyDescent="0.25">
      <c r="A100" s="24" t="s">
        <v>2220</v>
      </c>
      <c r="B100" s="2" t="s">
        <v>131</v>
      </c>
      <c r="C100" s="2" t="s">
        <v>455</v>
      </c>
      <c r="D100" s="2" t="s">
        <v>454</v>
      </c>
      <c r="E100" s="2" t="s">
        <v>237</v>
      </c>
      <c r="F100" s="2" t="s">
        <v>4250</v>
      </c>
      <c r="G100" s="2" t="s">
        <v>4251</v>
      </c>
    </row>
    <row r="101" spans="1:7" x14ac:dyDescent="0.25">
      <c r="A101" s="24" t="s">
        <v>2221</v>
      </c>
      <c r="B101" s="2" t="s">
        <v>131</v>
      </c>
      <c r="C101" s="2" t="s">
        <v>741</v>
      </c>
      <c r="D101" s="2" t="s">
        <v>887</v>
      </c>
      <c r="E101" s="2" t="s">
        <v>233</v>
      </c>
      <c r="F101" s="2" t="s">
        <v>742</v>
      </c>
      <c r="G101" s="2" t="s">
        <v>4252</v>
      </c>
    </row>
    <row r="102" spans="1:7" x14ac:dyDescent="0.25">
      <c r="A102" s="24" t="s">
        <v>2222</v>
      </c>
      <c r="B102" s="2" t="s">
        <v>131</v>
      </c>
      <c r="C102" s="2" t="s">
        <v>283</v>
      </c>
      <c r="D102" s="2" t="s">
        <v>282</v>
      </c>
      <c r="E102" s="2" t="s">
        <v>273</v>
      </c>
      <c r="F102" s="2" t="s">
        <v>284</v>
      </c>
      <c r="G102" s="2" t="s">
        <v>4253</v>
      </c>
    </row>
    <row r="103" spans="1:7" x14ac:dyDescent="0.25">
      <c r="A103" s="24" t="s">
        <v>2223</v>
      </c>
      <c r="B103" s="2" t="s">
        <v>131</v>
      </c>
      <c r="C103" s="2" t="s">
        <v>472</v>
      </c>
      <c r="D103" s="2" t="s">
        <v>471</v>
      </c>
      <c r="E103" s="2" t="s">
        <v>273</v>
      </c>
      <c r="F103" s="2" t="s">
        <v>4254</v>
      </c>
      <c r="G103" s="2" t="s">
        <v>4255</v>
      </c>
    </row>
    <row r="104" spans="1:7" x14ac:dyDescent="0.25">
      <c r="A104" s="24" t="s">
        <v>2224</v>
      </c>
      <c r="B104" s="2" t="s">
        <v>131</v>
      </c>
      <c r="C104" s="2" t="s">
        <v>468</v>
      </c>
      <c r="D104" s="2" t="s">
        <v>467</v>
      </c>
      <c r="E104" s="2" t="s">
        <v>121</v>
      </c>
      <c r="F104" s="2" t="s">
        <v>4256</v>
      </c>
      <c r="G104" s="2" t="s">
        <v>4257</v>
      </c>
    </row>
    <row r="105" spans="1:7" x14ac:dyDescent="0.25">
      <c r="A105" s="24" t="s">
        <v>2225</v>
      </c>
      <c r="B105" s="2" t="s">
        <v>131</v>
      </c>
      <c r="C105" s="2" t="s">
        <v>485</v>
      </c>
      <c r="D105" s="2" t="s">
        <v>484</v>
      </c>
      <c r="E105" s="2" t="s">
        <v>482</v>
      </c>
      <c r="F105" s="2" t="s">
        <v>4258</v>
      </c>
      <c r="G105" s="2" t="s">
        <v>4259</v>
      </c>
    </row>
    <row r="106" spans="1:7" x14ac:dyDescent="0.25">
      <c r="A106" s="24" t="s">
        <v>2226</v>
      </c>
      <c r="B106" s="2" t="s">
        <v>131</v>
      </c>
      <c r="C106" s="2" t="s">
        <v>727</v>
      </c>
      <c r="D106" s="2" t="s">
        <v>888</v>
      </c>
      <c r="E106" s="2" t="s">
        <v>482</v>
      </c>
      <c r="F106" s="2" t="s">
        <v>728</v>
      </c>
      <c r="G106" s="2" t="s">
        <v>4260</v>
      </c>
    </row>
    <row r="107" spans="1:7" x14ac:dyDescent="0.25">
      <c r="A107" s="24" t="s">
        <v>2227</v>
      </c>
      <c r="B107" s="2" t="s">
        <v>131</v>
      </c>
      <c r="C107" s="2" t="s">
        <v>535</v>
      </c>
      <c r="D107" s="2" t="s">
        <v>534</v>
      </c>
      <c r="E107" s="2" t="s">
        <v>446</v>
      </c>
      <c r="F107" s="2" t="s">
        <v>4261</v>
      </c>
      <c r="G107" s="2" t="s">
        <v>4262</v>
      </c>
    </row>
    <row r="108" spans="1:7" x14ac:dyDescent="0.25">
      <c r="A108" s="24" t="s">
        <v>2228</v>
      </c>
      <c r="B108" s="2" t="s">
        <v>131</v>
      </c>
      <c r="C108" s="2" t="s">
        <v>328</v>
      </c>
      <c r="D108" s="2" t="s">
        <v>326</v>
      </c>
      <c r="E108" s="2" t="s">
        <v>327</v>
      </c>
      <c r="F108" s="2" t="s">
        <v>329</v>
      </c>
      <c r="G108" s="2" t="s">
        <v>4263</v>
      </c>
    </row>
    <row r="109" spans="1:7" x14ac:dyDescent="0.25">
      <c r="A109" s="24" t="s">
        <v>2229</v>
      </c>
      <c r="B109" s="2" t="s">
        <v>131</v>
      </c>
      <c r="C109" s="2" t="s">
        <v>238</v>
      </c>
      <c r="D109" s="2" t="s">
        <v>236</v>
      </c>
      <c r="E109" s="2" t="s">
        <v>237</v>
      </c>
      <c r="F109" s="2" t="s">
        <v>239</v>
      </c>
      <c r="G109" s="2" t="s">
        <v>4264</v>
      </c>
    </row>
    <row r="110" spans="1:7" x14ac:dyDescent="0.25">
      <c r="A110" s="24" t="s">
        <v>2230</v>
      </c>
      <c r="B110" s="2" t="s">
        <v>131</v>
      </c>
      <c r="C110" s="2" t="s">
        <v>770</v>
      </c>
      <c r="D110" s="2" t="s">
        <v>889</v>
      </c>
      <c r="E110" s="2" t="s">
        <v>158</v>
      </c>
      <c r="F110" s="2" t="s">
        <v>771</v>
      </c>
      <c r="G110" s="2" t="s">
        <v>4265</v>
      </c>
    </row>
    <row r="111" spans="1:7" x14ac:dyDescent="0.25">
      <c r="A111" s="24" t="s">
        <v>2231</v>
      </c>
      <c r="B111" s="2" t="s">
        <v>131</v>
      </c>
      <c r="C111" s="2" t="s">
        <v>711</v>
      </c>
      <c r="D111" s="2" t="s">
        <v>890</v>
      </c>
      <c r="E111" s="2" t="s">
        <v>158</v>
      </c>
      <c r="F111" s="2" t="s">
        <v>712</v>
      </c>
      <c r="G111" s="2" t="s">
        <v>4266</v>
      </c>
    </row>
    <row r="112" spans="1:7" x14ac:dyDescent="0.25">
      <c r="A112" s="24" t="s">
        <v>2232</v>
      </c>
      <c r="B112" s="2" t="s">
        <v>131</v>
      </c>
      <c r="C112" s="2" t="s">
        <v>392</v>
      </c>
      <c r="D112" s="2" t="s">
        <v>391</v>
      </c>
      <c r="E112" s="2" t="s">
        <v>158</v>
      </c>
      <c r="F112" s="2" t="s">
        <v>4267</v>
      </c>
      <c r="G112" s="2" t="s">
        <v>4268</v>
      </c>
    </row>
    <row r="113" spans="1:7" x14ac:dyDescent="0.25">
      <c r="A113" s="24" t="s">
        <v>2233</v>
      </c>
      <c r="B113" s="2" t="s">
        <v>131</v>
      </c>
      <c r="C113" s="2" t="s">
        <v>4269</v>
      </c>
      <c r="D113" s="2" t="s">
        <v>891</v>
      </c>
      <c r="E113" s="2" t="s">
        <v>286</v>
      </c>
      <c r="F113" s="2" t="s">
        <v>4270</v>
      </c>
      <c r="G113" s="2" t="s">
        <v>4271</v>
      </c>
    </row>
    <row r="114" spans="1:7" x14ac:dyDescent="0.25">
      <c r="A114" s="24" t="s">
        <v>2234</v>
      </c>
      <c r="B114" s="2" t="s">
        <v>131</v>
      </c>
      <c r="C114" s="2" t="s">
        <v>706</v>
      </c>
      <c r="D114" s="2" t="s">
        <v>892</v>
      </c>
      <c r="E114" s="2" t="s">
        <v>139</v>
      </c>
      <c r="F114" s="2" t="s">
        <v>707</v>
      </c>
      <c r="G114" s="2" t="s">
        <v>4272</v>
      </c>
    </row>
    <row r="115" spans="1:7" x14ac:dyDescent="0.25">
      <c r="A115" s="24" t="s">
        <v>2235</v>
      </c>
      <c r="B115" s="2" t="s">
        <v>131</v>
      </c>
      <c r="C115" s="2" t="s">
        <v>763</v>
      </c>
      <c r="D115" s="2" t="s">
        <v>893</v>
      </c>
      <c r="E115" s="2" t="s">
        <v>139</v>
      </c>
      <c r="F115" s="2" t="s">
        <v>764</v>
      </c>
      <c r="G115" s="2" t="s">
        <v>4273</v>
      </c>
    </row>
    <row r="116" spans="1:7" x14ac:dyDescent="0.25">
      <c r="A116" s="24" t="s">
        <v>2236</v>
      </c>
      <c r="B116" s="2" t="s">
        <v>131</v>
      </c>
      <c r="C116" s="2" t="s">
        <v>602</v>
      </c>
      <c r="D116" s="2" t="s">
        <v>601</v>
      </c>
      <c r="E116" s="2" t="s">
        <v>266</v>
      </c>
      <c r="F116" s="2" t="s">
        <v>4274</v>
      </c>
      <c r="G116" s="2" t="s">
        <v>4275</v>
      </c>
    </row>
    <row r="117" spans="1:7" x14ac:dyDescent="0.25">
      <c r="A117" s="24" t="s">
        <v>2237</v>
      </c>
      <c r="B117" s="2" t="s">
        <v>131</v>
      </c>
      <c r="C117" s="2" t="s">
        <v>604</v>
      </c>
      <c r="D117" s="2" t="s">
        <v>603</v>
      </c>
      <c r="E117" s="2" t="s">
        <v>266</v>
      </c>
      <c r="F117" s="2" t="s">
        <v>4276</v>
      </c>
      <c r="G117" s="2" t="s">
        <v>4277</v>
      </c>
    </row>
    <row r="118" spans="1:7" x14ac:dyDescent="0.25">
      <c r="A118" s="24" t="s">
        <v>2238</v>
      </c>
      <c r="B118" s="2" t="s">
        <v>131</v>
      </c>
      <c r="C118" s="2" t="s">
        <v>185</v>
      </c>
      <c r="D118" s="2" t="s">
        <v>184</v>
      </c>
      <c r="E118" s="2" t="s">
        <v>181</v>
      </c>
      <c r="F118" s="2" t="s">
        <v>186</v>
      </c>
      <c r="G118" s="2" t="s">
        <v>4278</v>
      </c>
    </row>
    <row r="119" spans="1:7" x14ac:dyDescent="0.25">
      <c r="A119" s="24" t="s">
        <v>2239</v>
      </c>
      <c r="B119" s="2" t="s">
        <v>131</v>
      </c>
      <c r="C119" s="2" t="s">
        <v>4279</v>
      </c>
      <c r="D119" s="2" t="s">
        <v>894</v>
      </c>
      <c r="E119" s="2" t="s">
        <v>143</v>
      </c>
      <c r="F119" s="2" t="s">
        <v>4280</v>
      </c>
      <c r="G119" s="2" t="s">
        <v>4281</v>
      </c>
    </row>
    <row r="120" spans="1:7" x14ac:dyDescent="0.25">
      <c r="A120" s="24" t="s">
        <v>2240</v>
      </c>
      <c r="B120" s="2" t="s">
        <v>131</v>
      </c>
      <c r="C120" s="2" t="s">
        <v>470</v>
      </c>
      <c r="D120" s="2" t="s">
        <v>469</v>
      </c>
      <c r="E120" s="2" t="s">
        <v>121</v>
      </c>
      <c r="F120" s="2" t="s">
        <v>4282</v>
      </c>
      <c r="G120" s="2" t="s">
        <v>4283</v>
      </c>
    </row>
    <row r="121" spans="1:7" x14ac:dyDescent="0.25">
      <c r="A121" s="24" t="s">
        <v>2241</v>
      </c>
      <c r="B121" s="2" t="s">
        <v>131</v>
      </c>
      <c r="C121" s="2" t="s">
        <v>776</v>
      </c>
      <c r="D121" s="2" t="s">
        <v>895</v>
      </c>
      <c r="E121" s="2" t="s">
        <v>121</v>
      </c>
      <c r="F121" s="2" t="s">
        <v>777</v>
      </c>
      <c r="G121" s="2" t="s">
        <v>4284</v>
      </c>
    </row>
    <row r="122" spans="1:7" x14ac:dyDescent="0.25">
      <c r="A122" s="24" t="s">
        <v>2242</v>
      </c>
      <c r="B122" s="2" t="s">
        <v>131</v>
      </c>
      <c r="C122" s="2" t="s">
        <v>199</v>
      </c>
      <c r="D122" s="2" t="s">
        <v>197</v>
      </c>
      <c r="E122" s="2" t="s">
        <v>198</v>
      </c>
      <c r="F122" s="2" t="s">
        <v>200</v>
      </c>
      <c r="G122" s="2" t="s">
        <v>4285</v>
      </c>
    </row>
    <row r="123" spans="1:7" x14ac:dyDescent="0.25">
      <c r="A123" s="24" t="s">
        <v>2244</v>
      </c>
      <c r="B123" s="2" t="s">
        <v>131</v>
      </c>
      <c r="C123" s="2" t="s">
        <v>321</v>
      </c>
      <c r="D123" s="2" t="s">
        <v>320</v>
      </c>
      <c r="E123" s="2" t="s">
        <v>247</v>
      </c>
      <c r="F123" s="2" t="s">
        <v>322</v>
      </c>
      <c r="G123" s="2" t="s">
        <v>4288</v>
      </c>
    </row>
    <row r="124" spans="1:7" x14ac:dyDescent="0.25">
      <c r="A124" s="24" t="s">
        <v>2243</v>
      </c>
      <c r="B124" s="2" t="s">
        <v>131</v>
      </c>
      <c r="C124" s="2" t="s">
        <v>321</v>
      </c>
      <c r="D124" s="2" t="s">
        <v>320</v>
      </c>
      <c r="E124" s="2" t="s">
        <v>247</v>
      </c>
      <c r="F124" s="2" t="s">
        <v>4286</v>
      </c>
      <c r="G124" s="2" t="s">
        <v>4287</v>
      </c>
    </row>
    <row r="125" spans="1:7" x14ac:dyDescent="0.25">
      <c r="A125" s="24" t="s">
        <v>2245</v>
      </c>
      <c r="B125" s="2" t="s">
        <v>131</v>
      </c>
      <c r="C125" s="2" t="s">
        <v>374</v>
      </c>
      <c r="D125" s="2" t="s">
        <v>372</v>
      </c>
      <c r="E125" s="2" t="s">
        <v>373</v>
      </c>
      <c r="F125" s="2" t="s">
        <v>4289</v>
      </c>
      <c r="G125" s="2" t="s">
        <v>4290</v>
      </c>
    </row>
    <row r="126" spans="1:7" x14ac:dyDescent="0.25">
      <c r="A126" s="24" t="s">
        <v>2246</v>
      </c>
      <c r="B126" s="2" t="s">
        <v>131</v>
      </c>
      <c r="C126" s="2" t="s">
        <v>527</v>
      </c>
      <c r="D126" s="2" t="s">
        <v>526</v>
      </c>
      <c r="E126" s="2" t="s">
        <v>522</v>
      </c>
      <c r="F126" s="2" t="s">
        <v>4291</v>
      </c>
      <c r="G126" s="2" t="s">
        <v>4292</v>
      </c>
    </row>
    <row r="127" spans="1:7" x14ac:dyDescent="0.25">
      <c r="A127" s="24" t="s">
        <v>2247</v>
      </c>
      <c r="B127" s="2" t="s">
        <v>131</v>
      </c>
      <c r="C127" s="2" t="s">
        <v>453</v>
      </c>
      <c r="D127" s="2" t="s">
        <v>452</v>
      </c>
      <c r="E127" s="2" t="s">
        <v>247</v>
      </c>
      <c r="F127" s="2" t="s">
        <v>4293</v>
      </c>
      <c r="G127" s="2" t="s">
        <v>4294</v>
      </c>
    </row>
    <row r="128" spans="1:7" x14ac:dyDescent="0.25">
      <c r="A128" s="24" t="s">
        <v>2248</v>
      </c>
      <c r="B128" s="2" t="s">
        <v>131</v>
      </c>
      <c r="C128" s="2" t="s">
        <v>731</v>
      </c>
      <c r="D128" s="26" t="s">
        <v>4593</v>
      </c>
      <c r="E128" s="2" t="s">
        <v>147</v>
      </c>
      <c r="F128" s="2" t="s">
        <v>732</v>
      </c>
      <c r="G128" s="2" t="s">
        <v>4295</v>
      </c>
    </row>
    <row r="129" spans="1:7" x14ac:dyDescent="0.25">
      <c r="A129" s="24" t="s">
        <v>2248</v>
      </c>
      <c r="B129" s="2" t="s">
        <v>131</v>
      </c>
      <c r="C129" s="2" t="s">
        <v>731</v>
      </c>
      <c r="D129" s="2" t="s">
        <v>896</v>
      </c>
      <c r="E129" s="2" t="s">
        <v>147</v>
      </c>
      <c r="F129" s="2" t="s">
        <v>732</v>
      </c>
      <c r="G129" s="2" t="s">
        <v>4295</v>
      </c>
    </row>
    <row r="130" spans="1:7" x14ac:dyDescent="0.25">
      <c r="A130" s="24" t="s">
        <v>2250</v>
      </c>
      <c r="B130" s="2" t="s">
        <v>3</v>
      </c>
      <c r="C130" s="2" t="s">
        <v>4300</v>
      </c>
      <c r="D130" s="2" t="s">
        <v>827</v>
      </c>
      <c r="E130" s="2" t="s">
        <v>589</v>
      </c>
      <c r="F130" s="2" t="s">
        <v>4301</v>
      </c>
      <c r="G130" s="2" t="s">
        <v>4302</v>
      </c>
    </row>
    <row r="131" spans="1:7" x14ac:dyDescent="0.25">
      <c r="A131" s="24" t="s">
        <v>2251</v>
      </c>
      <c r="B131" s="2" t="s">
        <v>3</v>
      </c>
      <c r="C131" s="2" t="s">
        <v>308</v>
      </c>
      <c r="D131" s="2" t="s">
        <v>307</v>
      </c>
      <c r="E131" s="2" t="s">
        <v>233</v>
      </c>
      <c r="F131" s="2" t="s">
        <v>309</v>
      </c>
      <c r="G131" s="2" t="s">
        <v>4303</v>
      </c>
    </row>
    <row r="132" spans="1:7" x14ac:dyDescent="0.25">
      <c r="A132" s="24" t="s">
        <v>2252</v>
      </c>
      <c r="B132" s="2" t="s">
        <v>3</v>
      </c>
      <c r="C132" s="2" t="s">
        <v>516</v>
      </c>
      <c r="D132" s="2" t="s">
        <v>515</v>
      </c>
      <c r="E132" s="2" t="s">
        <v>431</v>
      </c>
      <c r="F132" s="2" t="s">
        <v>4304</v>
      </c>
      <c r="G132" s="2" t="s">
        <v>4305</v>
      </c>
    </row>
    <row r="133" spans="1:7" x14ac:dyDescent="0.25">
      <c r="A133" s="24" t="s">
        <v>2253</v>
      </c>
      <c r="B133" s="2" t="s">
        <v>3</v>
      </c>
      <c r="C133" s="2" t="s">
        <v>218</v>
      </c>
      <c r="D133" s="2" t="s">
        <v>217</v>
      </c>
      <c r="E133" s="2" t="s">
        <v>198</v>
      </c>
      <c r="F133" s="2" t="s">
        <v>219</v>
      </c>
      <c r="G133" s="2" t="s">
        <v>4306</v>
      </c>
    </row>
    <row r="134" spans="1:7" x14ac:dyDescent="0.25">
      <c r="A134" s="24" t="s">
        <v>5285</v>
      </c>
      <c r="B134" s="2" t="s">
        <v>3</v>
      </c>
      <c r="C134" s="2" t="s">
        <v>165</v>
      </c>
      <c r="D134" s="24" t="s">
        <v>164</v>
      </c>
      <c r="E134" s="2" t="s">
        <v>154</v>
      </c>
      <c r="F134" s="2" t="s">
        <v>166</v>
      </c>
      <c r="G134" s="2" t="s">
        <v>4309</v>
      </c>
    </row>
    <row r="135" spans="1:7" x14ac:dyDescent="0.25">
      <c r="A135" s="24" t="s">
        <v>5284</v>
      </c>
      <c r="B135" s="2" t="s">
        <v>3</v>
      </c>
      <c r="C135" s="2" t="s">
        <v>371</v>
      </c>
      <c r="D135" s="24" t="s">
        <v>164</v>
      </c>
      <c r="E135" s="2" t="s">
        <v>368</v>
      </c>
      <c r="F135" s="2" t="s">
        <v>4307</v>
      </c>
      <c r="G135" s="2" t="s">
        <v>4308</v>
      </c>
    </row>
    <row r="136" spans="1:7" x14ac:dyDescent="0.25">
      <c r="A136" s="24" t="s">
        <v>2254</v>
      </c>
      <c r="B136" s="2" t="s">
        <v>3</v>
      </c>
      <c r="C136" s="2" t="s">
        <v>474</v>
      </c>
      <c r="D136" s="2" t="s">
        <v>473</v>
      </c>
      <c r="E136" s="2" t="s">
        <v>121</v>
      </c>
      <c r="F136" s="2" t="s">
        <v>4310</v>
      </c>
      <c r="G136" s="2" t="s">
        <v>4311</v>
      </c>
    </row>
    <row r="137" spans="1:7" x14ac:dyDescent="0.25">
      <c r="A137" s="24" t="s">
        <v>2255</v>
      </c>
      <c r="B137" s="2" t="s">
        <v>3</v>
      </c>
      <c r="C137" s="2" t="s">
        <v>122</v>
      </c>
      <c r="D137" s="2" t="s">
        <v>120</v>
      </c>
      <c r="E137" s="2" t="s">
        <v>121</v>
      </c>
      <c r="F137" s="2" t="s">
        <v>123</v>
      </c>
      <c r="G137" s="2" t="s">
        <v>4312</v>
      </c>
    </row>
    <row r="138" spans="1:7" x14ac:dyDescent="0.25">
      <c r="A138" s="24" t="s">
        <v>2256</v>
      </c>
      <c r="B138" s="2" t="s">
        <v>3</v>
      </c>
      <c r="C138" s="2" t="s">
        <v>476</v>
      </c>
      <c r="D138" s="2" t="s">
        <v>475</v>
      </c>
      <c r="E138" s="2" t="s">
        <v>121</v>
      </c>
      <c r="F138" s="2" t="s">
        <v>4313</v>
      </c>
      <c r="G138" s="2" t="s">
        <v>4314</v>
      </c>
    </row>
    <row r="139" spans="1:7" x14ac:dyDescent="0.25">
      <c r="A139" s="24" t="s">
        <v>2257</v>
      </c>
      <c r="B139" s="2" t="s">
        <v>3</v>
      </c>
      <c r="C139" s="2" t="s">
        <v>551</v>
      </c>
      <c r="D139" s="2" t="s">
        <v>550</v>
      </c>
      <c r="E139" s="2" t="s">
        <v>237</v>
      </c>
      <c r="F139" s="2" t="s">
        <v>4315</v>
      </c>
      <c r="G139" s="2" t="s">
        <v>4316</v>
      </c>
    </row>
    <row r="140" spans="1:7" x14ac:dyDescent="0.25">
      <c r="A140" s="24" t="s">
        <v>2258</v>
      </c>
      <c r="B140" s="2" t="s">
        <v>3</v>
      </c>
      <c r="C140" s="2" t="s">
        <v>801</v>
      </c>
      <c r="D140" s="2" t="s">
        <v>828</v>
      </c>
      <c r="E140" s="2" t="s">
        <v>346</v>
      </c>
      <c r="F140" s="2" t="s">
        <v>802</v>
      </c>
      <c r="G140" s="2" t="s">
        <v>4317</v>
      </c>
    </row>
    <row r="141" spans="1:7" x14ac:dyDescent="0.25">
      <c r="A141" s="24" t="s">
        <v>2259</v>
      </c>
      <c r="B141" s="2" t="s">
        <v>3</v>
      </c>
      <c r="C141" s="2" t="s">
        <v>563</v>
      </c>
      <c r="D141" s="2" t="s">
        <v>562</v>
      </c>
      <c r="E141" s="2" t="s">
        <v>346</v>
      </c>
      <c r="F141" s="2" t="s">
        <v>4318</v>
      </c>
      <c r="G141" s="2" t="s">
        <v>4319</v>
      </c>
    </row>
    <row r="142" spans="1:7" x14ac:dyDescent="0.25">
      <c r="A142" s="24" t="s">
        <v>2260</v>
      </c>
      <c r="B142" s="2" t="s">
        <v>3</v>
      </c>
      <c r="C142" s="2" t="s">
        <v>590</v>
      </c>
      <c r="D142" s="2" t="s">
        <v>588</v>
      </c>
      <c r="E142" s="2" t="s">
        <v>589</v>
      </c>
      <c r="F142" s="2" t="s">
        <v>4320</v>
      </c>
      <c r="G142" s="2" t="s">
        <v>4321</v>
      </c>
    </row>
    <row r="143" spans="1:7" x14ac:dyDescent="0.25">
      <c r="A143" s="24" t="s">
        <v>2261</v>
      </c>
      <c r="B143" s="2" t="s">
        <v>3</v>
      </c>
      <c r="C143" s="2" t="s">
        <v>585</v>
      </c>
      <c r="D143" s="2" t="s">
        <v>584</v>
      </c>
      <c r="E143" s="2" t="s">
        <v>350</v>
      </c>
      <c r="F143" s="2" t="s">
        <v>4322</v>
      </c>
      <c r="G143" s="2" t="s">
        <v>4323</v>
      </c>
    </row>
    <row r="144" spans="1:7" x14ac:dyDescent="0.25">
      <c r="A144" s="24" t="s">
        <v>2262</v>
      </c>
      <c r="B144" s="2" t="s">
        <v>3</v>
      </c>
      <c r="C144" s="2" t="s">
        <v>351</v>
      </c>
      <c r="D144" s="2" t="s">
        <v>349</v>
      </c>
      <c r="E144" s="2" t="s">
        <v>350</v>
      </c>
      <c r="F144" s="2" t="s">
        <v>352</v>
      </c>
      <c r="G144" s="2" t="s">
        <v>4324</v>
      </c>
    </row>
    <row r="145" spans="1:7" x14ac:dyDescent="0.25">
      <c r="A145" s="24" t="s">
        <v>2263</v>
      </c>
      <c r="B145" s="2" t="s">
        <v>3</v>
      </c>
      <c r="C145" s="2" t="s">
        <v>587</v>
      </c>
      <c r="D145" s="2" t="s">
        <v>586</v>
      </c>
      <c r="E145" s="2" t="s">
        <v>121</v>
      </c>
      <c r="F145" s="2" t="s">
        <v>4325</v>
      </c>
      <c r="G145" s="2" t="s">
        <v>4326</v>
      </c>
    </row>
    <row r="146" spans="1:7" x14ac:dyDescent="0.25">
      <c r="A146" s="24" t="s">
        <v>2264</v>
      </c>
      <c r="B146" s="2" t="s">
        <v>3</v>
      </c>
      <c r="C146" s="2" t="s">
        <v>151</v>
      </c>
      <c r="D146" s="2" t="s">
        <v>150</v>
      </c>
      <c r="E146" s="2" t="s">
        <v>147</v>
      </c>
      <c r="F146" s="2" t="s">
        <v>152</v>
      </c>
      <c r="G146" s="2" t="s">
        <v>4327</v>
      </c>
    </row>
    <row r="147" spans="1:7" x14ac:dyDescent="0.25">
      <c r="A147" s="24" t="s">
        <v>2265</v>
      </c>
      <c r="B147" s="2" t="s">
        <v>3</v>
      </c>
      <c r="C147" s="2" t="s">
        <v>487</v>
      </c>
      <c r="D147" s="2" t="s">
        <v>486</v>
      </c>
      <c r="E147" s="2" t="s">
        <v>482</v>
      </c>
      <c r="F147" s="2" t="s">
        <v>4328</v>
      </c>
      <c r="G147" s="2" t="s">
        <v>4329</v>
      </c>
    </row>
    <row r="148" spans="1:7" x14ac:dyDescent="0.25">
      <c r="A148" s="24" t="s">
        <v>2266</v>
      </c>
      <c r="B148" s="2" t="s">
        <v>3</v>
      </c>
      <c r="C148" s="2" t="s">
        <v>782</v>
      </c>
      <c r="D148" s="2" t="s">
        <v>829</v>
      </c>
      <c r="E148" s="2" t="s">
        <v>482</v>
      </c>
      <c r="F148" s="2" t="s">
        <v>783</v>
      </c>
      <c r="G148" s="2" t="s">
        <v>4330</v>
      </c>
    </row>
    <row r="149" spans="1:7" x14ac:dyDescent="0.25">
      <c r="A149" s="24" t="s">
        <v>2267</v>
      </c>
      <c r="B149" s="2" t="s">
        <v>3</v>
      </c>
      <c r="C149" s="2" t="s">
        <v>168</v>
      </c>
      <c r="D149" s="2" t="s">
        <v>167</v>
      </c>
      <c r="E149" s="2" t="s">
        <v>154</v>
      </c>
      <c r="F149" s="2" t="s">
        <v>169</v>
      </c>
      <c r="G149" s="2" t="s">
        <v>4331</v>
      </c>
    </row>
    <row r="150" spans="1:7" x14ac:dyDescent="0.25">
      <c r="A150" s="24" t="s">
        <v>2268</v>
      </c>
      <c r="B150" s="2" t="s">
        <v>3</v>
      </c>
      <c r="C150" s="2" t="s">
        <v>803</v>
      </c>
      <c r="D150" s="2" t="s">
        <v>830</v>
      </c>
      <c r="E150" s="2" t="s">
        <v>346</v>
      </c>
      <c r="F150" s="2" t="s">
        <v>804</v>
      </c>
      <c r="G150" s="2" t="s">
        <v>4332</v>
      </c>
    </row>
    <row r="151" spans="1:7" x14ac:dyDescent="0.25">
      <c r="A151" s="24" t="s">
        <v>2269</v>
      </c>
      <c r="B151" s="2" t="s">
        <v>3</v>
      </c>
      <c r="C151" s="2" t="s">
        <v>565</v>
      </c>
      <c r="D151" s="2" t="s">
        <v>564</v>
      </c>
      <c r="E151" s="2" t="s">
        <v>346</v>
      </c>
      <c r="F151" s="2" t="s">
        <v>4333</v>
      </c>
      <c r="G151" s="2" t="s">
        <v>4334</v>
      </c>
    </row>
    <row r="152" spans="1:7" x14ac:dyDescent="0.25">
      <c r="A152" s="24" t="s">
        <v>2270</v>
      </c>
      <c r="B152" s="2" t="s">
        <v>3</v>
      </c>
      <c r="C152" s="2" t="s">
        <v>208</v>
      </c>
      <c r="D152" s="2" t="s">
        <v>207</v>
      </c>
      <c r="E152" s="2" t="s">
        <v>191</v>
      </c>
      <c r="F152" s="2" t="s">
        <v>209</v>
      </c>
      <c r="G152" s="2" t="s">
        <v>4335</v>
      </c>
    </row>
    <row r="153" spans="1:7" x14ac:dyDescent="0.25">
      <c r="A153" s="24" t="s">
        <v>2272</v>
      </c>
      <c r="B153" s="2" t="s">
        <v>3</v>
      </c>
      <c r="C153" s="2" t="s">
        <v>324</v>
      </c>
      <c r="D153" s="2" t="s">
        <v>323</v>
      </c>
      <c r="E153" s="2" t="s">
        <v>135</v>
      </c>
      <c r="F153" s="2" t="s">
        <v>325</v>
      </c>
      <c r="G153" s="2" t="s">
        <v>4338</v>
      </c>
    </row>
    <row r="154" spans="1:7" x14ac:dyDescent="0.25">
      <c r="A154" s="24" t="s">
        <v>2271</v>
      </c>
      <c r="B154" s="2" t="s">
        <v>3</v>
      </c>
      <c r="C154" s="2" t="s">
        <v>520</v>
      </c>
      <c r="D154" s="2" t="s">
        <v>323</v>
      </c>
      <c r="E154" s="2" t="s">
        <v>519</v>
      </c>
      <c r="F154" s="2" t="s">
        <v>4336</v>
      </c>
      <c r="G154" s="2" t="s">
        <v>4337</v>
      </c>
    </row>
    <row r="155" spans="1:7" x14ac:dyDescent="0.25">
      <c r="A155" s="24" t="s">
        <v>2273</v>
      </c>
      <c r="B155" s="2" t="s">
        <v>3</v>
      </c>
      <c r="C155" s="2" t="s">
        <v>729</v>
      </c>
      <c r="D155" s="2" t="s">
        <v>831</v>
      </c>
      <c r="E155" s="2" t="s">
        <v>482</v>
      </c>
      <c r="F155" s="2" t="s">
        <v>730</v>
      </c>
      <c r="G155" s="2" t="s">
        <v>4339</v>
      </c>
    </row>
    <row r="156" spans="1:7" x14ac:dyDescent="0.25">
      <c r="A156" s="24" t="s">
        <v>2274</v>
      </c>
      <c r="B156" s="2" t="s">
        <v>3</v>
      </c>
      <c r="C156" s="2" t="s">
        <v>4340</v>
      </c>
      <c r="D156" s="2" t="s">
        <v>832</v>
      </c>
      <c r="E156" s="2" t="s">
        <v>181</v>
      </c>
      <c r="F156" s="2" t="s">
        <v>4341</v>
      </c>
      <c r="G156" s="2" t="s">
        <v>4342</v>
      </c>
    </row>
    <row r="157" spans="1:7" x14ac:dyDescent="0.25">
      <c r="A157" s="24" t="s">
        <v>2275</v>
      </c>
      <c r="B157" s="2" t="s">
        <v>3</v>
      </c>
      <c r="C157" s="2" t="s">
        <v>713</v>
      </c>
      <c r="D157" s="2" t="s">
        <v>399</v>
      </c>
      <c r="E157" s="2" t="s">
        <v>114</v>
      </c>
      <c r="F157" s="2" t="s">
        <v>714</v>
      </c>
      <c r="G157" s="2" t="s">
        <v>4343</v>
      </c>
    </row>
    <row r="158" spans="1:7" x14ac:dyDescent="0.25">
      <c r="A158" s="24" t="s">
        <v>2276</v>
      </c>
      <c r="B158" s="2" t="s">
        <v>3</v>
      </c>
      <c r="C158" s="2" t="s">
        <v>400</v>
      </c>
      <c r="D158" s="2" t="s">
        <v>399</v>
      </c>
      <c r="E158" s="2" t="s">
        <v>114</v>
      </c>
      <c r="F158" s="2" t="s">
        <v>4344</v>
      </c>
      <c r="G158" s="2" t="s">
        <v>4345</v>
      </c>
    </row>
    <row r="159" spans="1:7" x14ac:dyDescent="0.25">
      <c r="A159" s="24" t="s">
        <v>2278</v>
      </c>
      <c r="B159" s="2" t="s">
        <v>3</v>
      </c>
      <c r="C159" s="2" t="s">
        <v>248</v>
      </c>
      <c r="D159" s="2" t="s">
        <v>246</v>
      </c>
      <c r="E159" s="2" t="s">
        <v>247</v>
      </c>
      <c r="F159" s="2" t="s">
        <v>249</v>
      </c>
      <c r="G159" s="2" t="s">
        <v>4348</v>
      </c>
    </row>
    <row r="160" spans="1:7" x14ac:dyDescent="0.25">
      <c r="A160" s="24" t="s">
        <v>2277</v>
      </c>
      <c r="B160" s="2" t="s">
        <v>3</v>
      </c>
      <c r="C160" s="2" t="s">
        <v>456</v>
      </c>
      <c r="D160" s="2" t="s">
        <v>246</v>
      </c>
      <c r="E160" s="2" t="s">
        <v>247</v>
      </c>
      <c r="F160" s="2" t="s">
        <v>4346</v>
      </c>
      <c r="G160" s="2" t="s">
        <v>4347</v>
      </c>
    </row>
    <row r="161" spans="1:7" x14ac:dyDescent="0.25">
      <c r="A161" s="24" t="s">
        <v>2279</v>
      </c>
      <c r="B161" s="2" t="s">
        <v>3</v>
      </c>
      <c r="C161" s="2" t="s">
        <v>4349</v>
      </c>
      <c r="D161" s="2" t="s">
        <v>833</v>
      </c>
      <c r="E161" s="2" t="s">
        <v>143</v>
      </c>
      <c r="F161" s="2" t="s">
        <v>4350</v>
      </c>
      <c r="G161" s="2" t="s">
        <v>4351</v>
      </c>
    </row>
    <row r="162" spans="1:7" x14ac:dyDescent="0.25">
      <c r="A162" s="24" t="s">
        <v>2280</v>
      </c>
      <c r="B162" s="2" t="s">
        <v>3</v>
      </c>
      <c r="C162" s="2" t="s">
        <v>4352</v>
      </c>
      <c r="D162" s="2" t="s">
        <v>4581</v>
      </c>
      <c r="E162" s="2" t="s">
        <v>266</v>
      </c>
      <c r="F162" s="2" t="s">
        <v>4353</v>
      </c>
      <c r="G162" s="2" t="s">
        <v>4354</v>
      </c>
    </row>
    <row r="163" spans="1:7" x14ac:dyDescent="0.25">
      <c r="A163" s="24" t="s">
        <v>2281</v>
      </c>
      <c r="B163" s="2" t="s">
        <v>3</v>
      </c>
      <c r="C163" s="2" t="s">
        <v>518</v>
      </c>
      <c r="D163" s="2" t="s">
        <v>517</v>
      </c>
      <c r="E163" s="2" t="s">
        <v>431</v>
      </c>
      <c r="F163" s="2" t="s">
        <v>4355</v>
      </c>
      <c r="G163" s="2" t="s">
        <v>4356</v>
      </c>
    </row>
    <row r="164" spans="1:7" x14ac:dyDescent="0.25">
      <c r="A164" s="24" t="s">
        <v>2282</v>
      </c>
      <c r="B164" s="2" t="s">
        <v>3</v>
      </c>
      <c r="C164" s="2" t="s">
        <v>205</v>
      </c>
      <c r="D164" s="2" t="s">
        <v>204</v>
      </c>
      <c r="E164" s="2" t="s">
        <v>198</v>
      </c>
      <c r="F164" s="2" t="s">
        <v>206</v>
      </c>
      <c r="G164" s="2" t="s">
        <v>4357</v>
      </c>
    </row>
    <row r="165" spans="1:7" x14ac:dyDescent="0.25">
      <c r="A165" s="24" t="s">
        <v>2283</v>
      </c>
      <c r="B165" s="2" t="s">
        <v>3</v>
      </c>
      <c r="C165" s="2" t="s">
        <v>735</v>
      </c>
      <c r="D165" s="2" t="s">
        <v>834</v>
      </c>
      <c r="E165" s="2" t="s">
        <v>198</v>
      </c>
      <c r="F165" s="2" t="s">
        <v>736</v>
      </c>
      <c r="G165" s="2" t="s">
        <v>4358</v>
      </c>
    </row>
    <row r="166" spans="1:7" x14ac:dyDescent="0.25">
      <c r="A166" s="24" t="s">
        <v>2284</v>
      </c>
      <c r="B166" s="2" t="s">
        <v>3</v>
      </c>
      <c r="C166" s="2" t="s">
        <v>434</v>
      </c>
      <c r="D166" s="2" t="s">
        <v>433</v>
      </c>
      <c r="E166" s="2" t="s">
        <v>191</v>
      </c>
      <c r="F166" s="2" t="s">
        <v>4359</v>
      </c>
      <c r="G166" s="2" t="s">
        <v>4360</v>
      </c>
    </row>
    <row r="167" spans="1:7" x14ac:dyDescent="0.25">
      <c r="A167" s="24" t="s">
        <v>2285</v>
      </c>
      <c r="B167" s="2" t="s">
        <v>3</v>
      </c>
      <c r="C167" s="2" t="s">
        <v>529</v>
      </c>
      <c r="D167" s="2" t="s">
        <v>528</v>
      </c>
      <c r="E167" s="2" t="s">
        <v>522</v>
      </c>
      <c r="F167" s="2" t="s">
        <v>4361</v>
      </c>
      <c r="G167" s="2" t="s">
        <v>4362</v>
      </c>
    </row>
    <row r="168" spans="1:7" x14ac:dyDescent="0.25">
      <c r="A168" s="24" t="s">
        <v>2286</v>
      </c>
      <c r="B168" s="2" t="s">
        <v>3</v>
      </c>
      <c r="C168" s="2" t="s">
        <v>442</v>
      </c>
      <c r="D168" s="2" t="s">
        <v>441</v>
      </c>
      <c r="E168" s="2" t="s">
        <v>422</v>
      </c>
      <c r="F168" s="2" t="s">
        <v>4363</v>
      </c>
      <c r="G168" s="2" t="s">
        <v>4364</v>
      </c>
    </row>
    <row r="169" spans="1:7" x14ac:dyDescent="0.25">
      <c r="A169" s="24" t="s">
        <v>2287</v>
      </c>
      <c r="B169" s="2" t="s">
        <v>3</v>
      </c>
      <c r="C169" s="2" t="s">
        <v>212</v>
      </c>
      <c r="D169" s="2" t="s">
        <v>210</v>
      </c>
      <c r="E169" s="2" t="s">
        <v>211</v>
      </c>
      <c r="F169" s="2" t="s">
        <v>213</v>
      </c>
      <c r="G169" s="2" t="s">
        <v>4365</v>
      </c>
    </row>
    <row r="170" spans="1:7" x14ac:dyDescent="0.25">
      <c r="A170" s="24" t="s">
        <v>2288</v>
      </c>
      <c r="B170" s="2" t="s">
        <v>3</v>
      </c>
      <c r="C170" s="2" t="s">
        <v>458</v>
      </c>
      <c r="D170" s="2" t="s">
        <v>457</v>
      </c>
      <c r="E170" s="2" t="s">
        <v>247</v>
      </c>
      <c r="F170" s="2" t="s">
        <v>4366</v>
      </c>
      <c r="G170" s="2" t="s">
        <v>4367</v>
      </c>
    </row>
    <row r="171" spans="1:7" x14ac:dyDescent="0.25">
      <c r="A171" s="24" t="s">
        <v>2289</v>
      </c>
      <c r="B171" s="2" t="s">
        <v>3</v>
      </c>
      <c r="C171" s="2" t="s">
        <v>414</v>
      </c>
      <c r="D171" s="2" t="s">
        <v>413</v>
      </c>
      <c r="E171" s="2" t="s">
        <v>174</v>
      </c>
      <c r="F171" s="2" t="s">
        <v>4368</v>
      </c>
      <c r="G171" s="2" t="s">
        <v>4369</v>
      </c>
    </row>
    <row r="172" spans="1:7" x14ac:dyDescent="0.25">
      <c r="A172" s="24" t="s">
        <v>2290</v>
      </c>
      <c r="B172" s="2" t="s">
        <v>3</v>
      </c>
      <c r="C172" s="2" t="s">
        <v>312</v>
      </c>
      <c r="D172" s="2" t="s">
        <v>310</v>
      </c>
      <c r="E172" s="2" t="s">
        <v>311</v>
      </c>
      <c r="F172" s="2" t="s">
        <v>313</v>
      </c>
      <c r="G172" s="2" t="s">
        <v>4370</v>
      </c>
    </row>
    <row r="173" spans="1:7" x14ac:dyDescent="0.25">
      <c r="A173" s="24" t="s">
        <v>2291</v>
      </c>
      <c r="B173" s="2" t="s">
        <v>3</v>
      </c>
      <c r="C173" s="2" t="s">
        <v>312</v>
      </c>
      <c r="D173" s="2" t="s">
        <v>310</v>
      </c>
      <c r="E173" s="2" t="s">
        <v>311</v>
      </c>
      <c r="F173" s="2" t="s">
        <v>4371</v>
      </c>
      <c r="G173" s="2" t="s">
        <v>4372</v>
      </c>
    </row>
    <row r="174" spans="1:7" x14ac:dyDescent="0.25">
      <c r="A174" s="24" t="s">
        <v>2292</v>
      </c>
      <c r="B174" s="2" t="s">
        <v>3</v>
      </c>
      <c r="C174" s="2" t="s">
        <v>571</v>
      </c>
      <c r="D174" s="2" t="s">
        <v>570</v>
      </c>
      <c r="E174" s="2" t="s">
        <v>346</v>
      </c>
      <c r="F174" s="2" t="s">
        <v>4373</v>
      </c>
      <c r="G174" s="2" t="s">
        <v>4374</v>
      </c>
    </row>
    <row r="175" spans="1:7" x14ac:dyDescent="0.25">
      <c r="A175" s="24" t="s">
        <v>2293</v>
      </c>
      <c r="B175" s="2" t="s">
        <v>3</v>
      </c>
      <c r="C175" s="2" t="s">
        <v>723</v>
      </c>
      <c r="D175" s="2" t="s">
        <v>835</v>
      </c>
      <c r="E175" s="2" t="s">
        <v>121</v>
      </c>
      <c r="F175" s="2" t="s">
        <v>724</v>
      </c>
      <c r="G175" s="2" t="s">
        <v>4375</v>
      </c>
    </row>
    <row r="176" spans="1:7" x14ac:dyDescent="0.25">
      <c r="A176" s="24" t="s">
        <v>2294</v>
      </c>
      <c r="B176" s="2" t="s">
        <v>3</v>
      </c>
      <c r="C176" s="2" t="s">
        <v>778</v>
      </c>
      <c r="D176" s="2" t="s">
        <v>836</v>
      </c>
      <c r="E176" s="2" t="s">
        <v>121</v>
      </c>
      <c r="F176" s="2" t="s">
        <v>779</v>
      </c>
      <c r="G176" s="2" t="s">
        <v>4376</v>
      </c>
    </row>
    <row r="177" spans="1:7" x14ac:dyDescent="0.25">
      <c r="A177" s="24" t="s">
        <v>2295</v>
      </c>
      <c r="B177" s="2" t="s">
        <v>3</v>
      </c>
      <c r="C177" s="2" t="s">
        <v>251</v>
      </c>
      <c r="D177" s="2" t="s">
        <v>250</v>
      </c>
      <c r="E177" s="2" t="s">
        <v>247</v>
      </c>
      <c r="F177" s="2" t="s">
        <v>252</v>
      </c>
      <c r="G177" s="2" t="s">
        <v>4377</v>
      </c>
    </row>
    <row r="178" spans="1:7" x14ac:dyDescent="0.25">
      <c r="A178" s="24" t="s">
        <v>2296</v>
      </c>
      <c r="B178" s="2" t="s">
        <v>3</v>
      </c>
      <c r="C178" s="2" t="s">
        <v>822</v>
      </c>
      <c r="D178" s="2" t="s">
        <v>897</v>
      </c>
      <c r="E178" s="2" t="s">
        <v>266</v>
      </c>
      <c r="F178" s="2" t="s">
        <v>823</v>
      </c>
      <c r="G178" s="2" t="s">
        <v>4378</v>
      </c>
    </row>
    <row r="179" spans="1:7" x14ac:dyDescent="0.25">
      <c r="A179" s="24" t="s">
        <v>2297</v>
      </c>
      <c r="B179" s="2" t="s">
        <v>3</v>
      </c>
      <c r="C179" s="2" t="s">
        <v>331</v>
      </c>
      <c r="D179" s="2" t="s">
        <v>330</v>
      </c>
      <c r="E179" s="2" t="s">
        <v>286</v>
      </c>
      <c r="F179" s="2" t="s">
        <v>332</v>
      </c>
      <c r="G179" s="2" t="s">
        <v>4379</v>
      </c>
    </row>
    <row r="180" spans="1:7" x14ac:dyDescent="0.25">
      <c r="A180" s="24" t="s">
        <v>2298</v>
      </c>
      <c r="B180" s="2" t="s">
        <v>3</v>
      </c>
      <c r="C180" s="2" t="s">
        <v>162</v>
      </c>
      <c r="D180" s="2" t="s">
        <v>161</v>
      </c>
      <c r="E180" s="2" t="s">
        <v>158</v>
      </c>
      <c r="F180" s="2" t="s">
        <v>163</v>
      </c>
      <c r="G180" s="2" t="s">
        <v>4380</v>
      </c>
    </row>
    <row r="181" spans="1:7" x14ac:dyDescent="0.25">
      <c r="A181" s="24" t="s">
        <v>2299</v>
      </c>
      <c r="B181" s="2" t="s">
        <v>3</v>
      </c>
      <c r="C181" s="2" t="s">
        <v>159</v>
      </c>
      <c r="D181" s="2" t="s">
        <v>157</v>
      </c>
      <c r="E181" s="2" t="s">
        <v>158</v>
      </c>
      <c r="F181" s="2" t="s">
        <v>160</v>
      </c>
      <c r="G181" s="2" t="s">
        <v>4381</v>
      </c>
    </row>
    <row r="182" spans="1:7" x14ac:dyDescent="0.25">
      <c r="A182" s="24" t="s">
        <v>2300</v>
      </c>
      <c r="B182" s="2" t="s">
        <v>3</v>
      </c>
      <c r="C182" s="2" t="s">
        <v>315</v>
      </c>
      <c r="D182" s="2" t="s">
        <v>314</v>
      </c>
      <c r="E182" s="2" t="s">
        <v>266</v>
      </c>
      <c r="F182" s="2" t="s">
        <v>316</v>
      </c>
      <c r="G182" s="2" t="s">
        <v>4382</v>
      </c>
    </row>
    <row r="183" spans="1:7" x14ac:dyDescent="0.25">
      <c r="A183" s="24" t="s">
        <v>2301</v>
      </c>
      <c r="B183" s="2" t="s">
        <v>3</v>
      </c>
      <c r="C183" s="2" t="s">
        <v>396</v>
      </c>
      <c r="D183" s="2" t="s">
        <v>395</v>
      </c>
      <c r="E183" s="2" t="s">
        <v>158</v>
      </c>
      <c r="F183" s="2" t="s">
        <v>4383</v>
      </c>
      <c r="G183" s="2" t="s">
        <v>4384</v>
      </c>
    </row>
    <row r="184" spans="1:7" x14ac:dyDescent="0.25">
      <c r="A184" s="24" t="s">
        <v>2302</v>
      </c>
      <c r="B184" s="2" t="s">
        <v>3</v>
      </c>
      <c r="C184" s="2" t="s">
        <v>567</v>
      </c>
      <c r="D184" s="2" t="s">
        <v>566</v>
      </c>
      <c r="E184" s="2" t="s">
        <v>346</v>
      </c>
      <c r="F184" s="2" t="s">
        <v>4385</v>
      </c>
      <c r="G184" s="2" t="s">
        <v>4386</v>
      </c>
    </row>
    <row r="185" spans="1:7" x14ac:dyDescent="0.25">
      <c r="A185" s="24" t="s">
        <v>2303</v>
      </c>
      <c r="B185" s="2" t="s">
        <v>3</v>
      </c>
      <c r="C185" s="2" t="s">
        <v>805</v>
      </c>
      <c r="D185" s="2" t="s">
        <v>837</v>
      </c>
      <c r="E185" s="2" t="s">
        <v>346</v>
      </c>
      <c r="F185" s="2" t="s">
        <v>806</v>
      </c>
      <c r="G185" s="2" t="s">
        <v>4387</v>
      </c>
    </row>
    <row r="186" spans="1:7" x14ac:dyDescent="0.25">
      <c r="A186" s="24" t="s">
        <v>2304</v>
      </c>
      <c r="B186" s="2" t="s">
        <v>3</v>
      </c>
      <c r="C186" s="2" t="s">
        <v>357</v>
      </c>
      <c r="D186" s="2" t="s">
        <v>356</v>
      </c>
      <c r="E186" s="2" t="s">
        <v>350</v>
      </c>
      <c r="F186" s="2" t="s">
        <v>358</v>
      </c>
      <c r="G186" s="2" t="s">
        <v>4388</v>
      </c>
    </row>
    <row r="187" spans="1:7" x14ac:dyDescent="0.25">
      <c r="A187" s="24" t="s">
        <v>2305</v>
      </c>
      <c r="B187" s="2" t="s">
        <v>3</v>
      </c>
      <c r="C187" s="2" t="s">
        <v>592</v>
      </c>
      <c r="D187" s="2" t="s">
        <v>591</v>
      </c>
      <c r="E187" s="2" t="s">
        <v>350</v>
      </c>
      <c r="F187" s="2" t="s">
        <v>4389</v>
      </c>
      <c r="G187" s="2" t="s">
        <v>4390</v>
      </c>
    </row>
    <row r="188" spans="1:7" x14ac:dyDescent="0.25">
      <c r="A188" s="24" t="s">
        <v>2306</v>
      </c>
      <c r="B188" s="2" t="s">
        <v>3</v>
      </c>
      <c r="C188" s="2" t="s">
        <v>144</v>
      </c>
      <c r="D188" s="2" t="s">
        <v>142</v>
      </c>
      <c r="E188" s="2" t="s">
        <v>143</v>
      </c>
      <c r="F188" s="2" t="s">
        <v>145</v>
      </c>
      <c r="G188" s="2" t="s">
        <v>4391</v>
      </c>
    </row>
    <row r="189" spans="1:7" x14ac:dyDescent="0.25">
      <c r="A189" s="24" t="s">
        <v>2307</v>
      </c>
      <c r="B189" s="2" t="s">
        <v>3</v>
      </c>
      <c r="C189" s="2" t="s">
        <v>182</v>
      </c>
      <c r="D189" s="23" t="s">
        <v>180</v>
      </c>
      <c r="E189" s="2" t="s">
        <v>181</v>
      </c>
      <c r="F189" s="2" t="s">
        <v>183</v>
      </c>
      <c r="G189" s="2" t="s">
        <v>4392</v>
      </c>
    </row>
    <row r="190" spans="1:7" x14ac:dyDescent="0.25">
      <c r="A190" s="24" t="s">
        <v>2308</v>
      </c>
      <c r="B190" s="2" t="s">
        <v>3</v>
      </c>
      <c r="C190" s="2" t="s">
        <v>721</v>
      </c>
      <c r="D190" s="2" t="s">
        <v>838</v>
      </c>
      <c r="E190" s="2" t="s">
        <v>191</v>
      </c>
      <c r="F190" s="2" t="s">
        <v>722</v>
      </c>
      <c r="G190" s="2" t="s">
        <v>4393</v>
      </c>
    </row>
    <row r="191" spans="1:7" x14ac:dyDescent="0.25">
      <c r="A191" s="24" t="s">
        <v>2309</v>
      </c>
      <c r="B191" s="2" t="s">
        <v>3</v>
      </c>
      <c r="C191" s="2" t="s">
        <v>4394</v>
      </c>
      <c r="D191" s="2" t="s">
        <v>839</v>
      </c>
      <c r="E191" s="2" t="s">
        <v>181</v>
      </c>
      <c r="F191" s="2" t="s">
        <v>4395</v>
      </c>
      <c r="G191" s="2" t="s">
        <v>4396</v>
      </c>
    </row>
    <row r="192" spans="1:7" x14ac:dyDescent="0.25">
      <c r="A192" s="24" t="s">
        <v>2310</v>
      </c>
      <c r="B192" s="2" t="s">
        <v>3</v>
      </c>
      <c r="C192" s="2" t="s">
        <v>4397</v>
      </c>
      <c r="D192" s="2" t="s">
        <v>840</v>
      </c>
      <c r="E192" s="2" t="s">
        <v>589</v>
      </c>
      <c r="F192" s="2" t="s">
        <v>4398</v>
      </c>
      <c r="G192" s="2" t="s">
        <v>4399</v>
      </c>
    </row>
    <row r="193" spans="1:7" x14ac:dyDescent="0.25">
      <c r="A193" s="24" t="s">
        <v>2311</v>
      </c>
      <c r="B193" s="2" t="s">
        <v>3</v>
      </c>
      <c r="C193" s="2" t="s">
        <v>489</v>
      </c>
      <c r="D193" s="2" t="s">
        <v>488</v>
      </c>
      <c r="E193" s="2" t="s">
        <v>482</v>
      </c>
      <c r="F193" s="2" t="s">
        <v>4400</v>
      </c>
      <c r="G193" s="2" t="s">
        <v>4401</v>
      </c>
    </row>
    <row r="194" spans="1:7" x14ac:dyDescent="0.25">
      <c r="A194" s="24" t="s">
        <v>2312</v>
      </c>
      <c r="B194" s="2" t="s">
        <v>3</v>
      </c>
      <c r="C194" s="2" t="s">
        <v>784</v>
      </c>
      <c r="D194" s="2" t="s">
        <v>841</v>
      </c>
      <c r="E194" s="2" t="s">
        <v>482</v>
      </c>
      <c r="F194" s="2" t="s">
        <v>785</v>
      </c>
      <c r="G194" s="2" t="s">
        <v>4402</v>
      </c>
    </row>
    <row r="195" spans="1:7" x14ac:dyDescent="0.25">
      <c r="A195" s="24" t="s">
        <v>2313</v>
      </c>
      <c r="B195" s="2" t="s">
        <v>3</v>
      </c>
      <c r="C195" s="2" t="s">
        <v>788</v>
      </c>
      <c r="D195" s="2" t="s">
        <v>842</v>
      </c>
      <c r="E195" s="2" t="s">
        <v>482</v>
      </c>
      <c r="F195" s="2" t="s">
        <v>789</v>
      </c>
      <c r="G195" s="2" t="s">
        <v>4403</v>
      </c>
    </row>
    <row r="196" spans="1:7" x14ac:dyDescent="0.25">
      <c r="A196" s="24" t="s">
        <v>2315</v>
      </c>
      <c r="B196" s="2" t="s">
        <v>3</v>
      </c>
      <c r="C196" s="2" t="s">
        <v>799</v>
      </c>
      <c r="D196" s="25" t="s">
        <v>4021</v>
      </c>
      <c r="E196" s="2" t="s">
        <v>237</v>
      </c>
      <c r="F196" s="2" t="s">
        <v>800</v>
      </c>
      <c r="G196" s="2" t="s">
        <v>4407</v>
      </c>
    </row>
    <row r="197" spans="1:7" x14ac:dyDescent="0.25">
      <c r="A197" s="24" t="s">
        <v>2314</v>
      </c>
      <c r="B197" s="2" t="s">
        <v>3</v>
      </c>
      <c r="C197" s="2" t="s">
        <v>4404</v>
      </c>
      <c r="D197" s="2" t="s">
        <v>4582</v>
      </c>
      <c r="E197" s="2" t="s">
        <v>237</v>
      </c>
      <c r="F197" s="2" t="s">
        <v>4405</v>
      </c>
      <c r="G197" s="2" t="s">
        <v>4406</v>
      </c>
    </row>
    <row r="198" spans="1:7" x14ac:dyDescent="0.25">
      <c r="A198" s="24" t="s">
        <v>2315</v>
      </c>
      <c r="B198" s="2" t="s">
        <v>3</v>
      </c>
      <c r="C198" s="2" t="s">
        <v>799</v>
      </c>
      <c r="D198" s="23" t="s">
        <v>843</v>
      </c>
      <c r="E198" s="2" t="s">
        <v>237</v>
      </c>
      <c r="F198" s="2" t="s">
        <v>800</v>
      </c>
      <c r="G198" s="2" t="s">
        <v>4407</v>
      </c>
    </row>
    <row r="199" spans="1:7" x14ac:dyDescent="0.25">
      <c r="A199" s="24" t="s">
        <v>2316</v>
      </c>
      <c r="B199" s="2" t="s">
        <v>3</v>
      </c>
      <c r="C199" s="2" t="s">
        <v>4408</v>
      </c>
      <c r="D199" s="2" t="s">
        <v>4583</v>
      </c>
      <c r="E199" s="2" t="s">
        <v>311</v>
      </c>
      <c r="F199" s="2" t="s">
        <v>4409</v>
      </c>
      <c r="G199" s="2" t="s">
        <v>4410</v>
      </c>
    </row>
    <row r="200" spans="1:7" x14ac:dyDescent="0.25">
      <c r="A200" s="24" t="s">
        <v>2317</v>
      </c>
      <c r="B200" s="2" t="s">
        <v>3</v>
      </c>
      <c r="C200" s="2" t="s">
        <v>4411</v>
      </c>
      <c r="D200" s="2" t="s">
        <v>844</v>
      </c>
      <c r="E200" s="2" t="s">
        <v>350</v>
      </c>
      <c r="F200" s="2" t="s">
        <v>4412</v>
      </c>
      <c r="G200" s="2" t="s">
        <v>4413</v>
      </c>
    </row>
    <row r="201" spans="1:7" x14ac:dyDescent="0.25">
      <c r="A201" s="24" t="s">
        <v>2318</v>
      </c>
      <c r="B201" s="2" t="s">
        <v>3</v>
      </c>
      <c r="C201" s="2" t="s">
        <v>766</v>
      </c>
      <c r="D201" s="2" t="s">
        <v>845</v>
      </c>
      <c r="E201" s="2" t="s">
        <v>139</v>
      </c>
      <c r="F201" s="2" t="s">
        <v>767</v>
      </c>
      <c r="G201" s="2" t="s">
        <v>4414</v>
      </c>
    </row>
    <row r="202" spans="1:7" x14ac:dyDescent="0.25">
      <c r="A202" s="24" t="s">
        <v>2319</v>
      </c>
      <c r="B202" s="2" t="s">
        <v>3</v>
      </c>
      <c r="C202" s="2" t="s">
        <v>404</v>
      </c>
      <c r="D202" s="2" t="s">
        <v>403</v>
      </c>
      <c r="E202" s="2" t="s">
        <v>114</v>
      </c>
      <c r="F202" s="2" t="s">
        <v>4415</v>
      </c>
      <c r="G202" s="2" t="s">
        <v>4416</v>
      </c>
    </row>
    <row r="203" spans="1:7" x14ac:dyDescent="0.25">
      <c r="A203" s="24" t="s">
        <v>2320</v>
      </c>
      <c r="B203" s="2" t="s">
        <v>3</v>
      </c>
      <c r="C203" s="2" t="s">
        <v>125</v>
      </c>
      <c r="D203" s="2" t="s">
        <v>124</v>
      </c>
      <c r="E203" s="2" t="s">
        <v>121</v>
      </c>
      <c r="F203" s="2" t="s">
        <v>126</v>
      </c>
      <c r="G203" s="2" t="s">
        <v>4417</v>
      </c>
    </row>
    <row r="204" spans="1:7" x14ac:dyDescent="0.25">
      <c r="A204" s="24" t="s">
        <v>2321</v>
      </c>
      <c r="B204" s="2" t="s">
        <v>3</v>
      </c>
      <c r="C204" s="2" t="s">
        <v>115</v>
      </c>
      <c r="D204" s="2" t="s">
        <v>113</v>
      </c>
      <c r="E204" s="2" t="s">
        <v>114</v>
      </c>
      <c r="F204" s="2" t="s">
        <v>116</v>
      </c>
      <c r="G204" s="2" t="s">
        <v>4418</v>
      </c>
    </row>
    <row r="205" spans="1:7" x14ac:dyDescent="0.25">
      <c r="A205" s="24" t="s">
        <v>2322</v>
      </c>
      <c r="B205" s="2" t="s">
        <v>3</v>
      </c>
      <c r="C205" s="2" t="s">
        <v>188</v>
      </c>
      <c r="D205" s="2" t="s">
        <v>187</v>
      </c>
      <c r="E205" s="2" t="s">
        <v>181</v>
      </c>
      <c r="F205" s="2" t="s">
        <v>189</v>
      </c>
      <c r="G205" s="2" t="s">
        <v>4419</v>
      </c>
    </row>
    <row r="206" spans="1:7" x14ac:dyDescent="0.25">
      <c r="A206" s="24" t="s">
        <v>2323</v>
      </c>
      <c r="B206" s="2" t="s">
        <v>3</v>
      </c>
      <c r="C206" s="2" t="s">
        <v>402</v>
      </c>
      <c r="D206" s="2" t="s">
        <v>401</v>
      </c>
      <c r="E206" s="2" t="s">
        <v>114</v>
      </c>
      <c r="F206" s="2" t="s">
        <v>4420</v>
      </c>
      <c r="G206" s="2" t="s">
        <v>4421</v>
      </c>
    </row>
    <row r="207" spans="1:7" x14ac:dyDescent="0.25">
      <c r="A207" s="24" t="s">
        <v>2324</v>
      </c>
      <c r="B207" s="2" t="s">
        <v>3</v>
      </c>
      <c r="C207" s="2" t="s">
        <v>708</v>
      </c>
      <c r="D207" s="2" t="s">
        <v>846</v>
      </c>
      <c r="E207" s="2" t="s">
        <v>139</v>
      </c>
      <c r="F207" s="2" t="s">
        <v>709</v>
      </c>
      <c r="G207" s="2" t="s">
        <v>4422</v>
      </c>
    </row>
    <row r="208" spans="1:7" x14ac:dyDescent="0.25">
      <c r="A208" s="24" t="s">
        <v>2325</v>
      </c>
      <c r="B208" s="2" t="s">
        <v>3</v>
      </c>
      <c r="C208" s="2" t="s">
        <v>386</v>
      </c>
      <c r="D208" s="2" t="s">
        <v>385</v>
      </c>
      <c r="E208" s="2" t="s">
        <v>373</v>
      </c>
      <c r="F208" s="2" t="s">
        <v>4423</v>
      </c>
      <c r="G208" s="2" t="s">
        <v>4424</v>
      </c>
    </row>
    <row r="209" spans="1:7" x14ac:dyDescent="0.25">
      <c r="A209" s="24" t="s">
        <v>2326</v>
      </c>
      <c r="B209" s="2" t="s">
        <v>3</v>
      </c>
      <c r="C209" s="2" t="s">
        <v>384</v>
      </c>
      <c r="D209" s="2" t="s">
        <v>383</v>
      </c>
      <c r="E209" s="2" t="s">
        <v>373</v>
      </c>
      <c r="F209" s="2" t="s">
        <v>4425</v>
      </c>
      <c r="G209" s="2" t="s">
        <v>4426</v>
      </c>
    </row>
    <row r="210" spans="1:7" x14ac:dyDescent="0.25">
      <c r="A210" s="24" t="s">
        <v>2327</v>
      </c>
      <c r="B210" s="2" t="s">
        <v>3</v>
      </c>
      <c r="C210" s="2" t="s">
        <v>128</v>
      </c>
      <c r="D210" s="2" t="s">
        <v>127</v>
      </c>
      <c r="E210" s="2" t="s">
        <v>121</v>
      </c>
      <c r="F210" s="2" t="s">
        <v>129</v>
      </c>
      <c r="G210" s="2" t="s">
        <v>4427</v>
      </c>
    </row>
    <row r="211" spans="1:7" x14ac:dyDescent="0.25">
      <c r="A211" s="24" t="s">
        <v>2329</v>
      </c>
      <c r="B211" s="2" t="s">
        <v>3</v>
      </c>
      <c r="C211" s="2" t="s">
        <v>807</v>
      </c>
      <c r="D211" s="2" t="s">
        <v>568</v>
      </c>
      <c r="E211" s="2" t="s">
        <v>346</v>
      </c>
      <c r="F211" s="2" t="s">
        <v>808</v>
      </c>
      <c r="G211" s="2" t="s">
        <v>4430</v>
      </c>
    </row>
    <row r="212" spans="1:7" x14ac:dyDescent="0.25">
      <c r="A212" s="24" t="s">
        <v>2328</v>
      </c>
      <c r="B212" s="2" t="s">
        <v>3</v>
      </c>
      <c r="C212" s="2" t="s">
        <v>569</v>
      </c>
      <c r="D212" s="2" t="s">
        <v>568</v>
      </c>
      <c r="E212" s="2" t="s">
        <v>346</v>
      </c>
      <c r="F212" s="2" t="s">
        <v>4428</v>
      </c>
      <c r="G212" s="2" t="s">
        <v>4429</v>
      </c>
    </row>
    <row r="213" spans="1:7" x14ac:dyDescent="0.25">
      <c r="A213" s="24" t="s">
        <v>2330</v>
      </c>
      <c r="B213" s="2" t="s">
        <v>3</v>
      </c>
      <c r="C213" s="2" t="s">
        <v>148</v>
      </c>
      <c r="D213" s="2" t="s">
        <v>146</v>
      </c>
      <c r="E213" s="2" t="s">
        <v>147</v>
      </c>
      <c r="F213" s="2" t="s">
        <v>149</v>
      </c>
      <c r="G213" s="2" t="s">
        <v>4431</v>
      </c>
    </row>
    <row r="214" spans="1:7" x14ac:dyDescent="0.25">
      <c r="A214" s="24" t="s">
        <v>2331</v>
      </c>
      <c r="B214" s="2" t="s">
        <v>3</v>
      </c>
      <c r="C214" s="2" t="s">
        <v>496</v>
      </c>
      <c r="D214" s="2" t="s">
        <v>495</v>
      </c>
      <c r="E214" s="2" t="s">
        <v>491</v>
      </c>
      <c r="F214" s="2" t="s">
        <v>4432</v>
      </c>
      <c r="G214" s="2" t="s">
        <v>4433</v>
      </c>
    </row>
    <row r="215" spans="1:7" x14ac:dyDescent="0.25">
      <c r="A215" s="24" t="s">
        <v>2332</v>
      </c>
      <c r="B215" s="2" t="s">
        <v>3</v>
      </c>
      <c r="C215" s="2" t="s">
        <v>575</v>
      </c>
      <c r="D215" s="2" t="s">
        <v>574</v>
      </c>
      <c r="E215" s="2" t="s">
        <v>346</v>
      </c>
      <c r="F215" s="2" t="s">
        <v>4434</v>
      </c>
      <c r="G215" s="2" t="s">
        <v>4435</v>
      </c>
    </row>
    <row r="216" spans="1:7" x14ac:dyDescent="0.25">
      <c r="A216" s="24" t="s">
        <v>2333</v>
      </c>
      <c r="B216" s="2" t="s">
        <v>3</v>
      </c>
      <c r="C216" s="2" t="s">
        <v>809</v>
      </c>
      <c r="D216" s="2" t="s">
        <v>847</v>
      </c>
      <c r="E216" s="2" t="s">
        <v>346</v>
      </c>
      <c r="F216" s="2" t="s">
        <v>810</v>
      </c>
      <c r="G216" s="2" t="s">
        <v>4436</v>
      </c>
    </row>
    <row r="217" spans="1:7" x14ac:dyDescent="0.25">
      <c r="A217" s="24" t="s">
        <v>2334</v>
      </c>
      <c r="B217" s="2" t="s">
        <v>3</v>
      </c>
      <c r="C217" s="2" t="s">
        <v>514</v>
      </c>
      <c r="D217" s="2" t="s">
        <v>513</v>
      </c>
      <c r="E217" s="2" t="s">
        <v>273</v>
      </c>
      <c r="F217" s="2" t="s">
        <v>4437</v>
      </c>
      <c r="G217" s="2" t="s">
        <v>4438</v>
      </c>
    </row>
    <row r="218" spans="1:7" x14ac:dyDescent="0.25">
      <c r="A218" s="24" t="s">
        <v>2335</v>
      </c>
      <c r="B218" s="2" t="s">
        <v>3</v>
      </c>
      <c r="C218" s="2" t="s">
        <v>557</v>
      </c>
      <c r="D218" s="2" t="s">
        <v>556</v>
      </c>
      <c r="E218" s="2" t="s">
        <v>237</v>
      </c>
      <c r="F218" s="2" t="s">
        <v>4439</v>
      </c>
      <c r="G218" s="2" t="s">
        <v>4440</v>
      </c>
    </row>
    <row r="219" spans="1:7" x14ac:dyDescent="0.25">
      <c r="A219" s="24" t="s">
        <v>2336</v>
      </c>
      <c r="B219" s="2" t="s">
        <v>3</v>
      </c>
      <c r="C219" s="2" t="s">
        <v>555</v>
      </c>
      <c r="D219" s="2" t="s">
        <v>554</v>
      </c>
      <c r="E219" s="2" t="s">
        <v>237</v>
      </c>
      <c r="F219" s="2" t="s">
        <v>4441</v>
      </c>
      <c r="G219" s="2" t="s">
        <v>4442</v>
      </c>
    </row>
    <row r="220" spans="1:7" x14ac:dyDescent="0.25">
      <c r="A220" s="24" t="s">
        <v>2337</v>
      </c>
      <c r="B220" s="2" t="s">
        <v>3</v>
      </c>
      <c r="C220" s="2" t="s">
        <v>478</v>
      </c>
      <c r="D220" s="2" t="s">
        <v>477</v>
      </c>
      <c r="E220" s="2" t="s">
        <v>121</v>
      </c>
      <c r="F220" s="2" t="s">
        <v>4443</v>
      </c>
      <c r="G220" s="2" t="s">
        <v>4444</v>
      </c>
    </row>
    <row r="221" spans="1:7" x14ac:dyDescent="0.25">
      <c r="A221" s="24" t="s">
        <v>2338</v>
      </c>
      <c r="B221" s="2" t="s">
        <v>3</v>
      </c>
      <c r="C221" s="2" t="s">
        <v>444</v>
      </c>
      <c r="D221" s="2" t="s">
        <v>443</v>
      </c>
      <c r="E221" s="2" t="s">
        <v>191</v>
      </c>
      <c r="F221" s="2" t="s">
        <v>4445</v>
      </c>
      <c r="G221" s="2" t="s">
        <v>4446</v>
      </c>
    </row>
    <row r="222" spans="1:7" x14ac:dyDescent="0.25">
      <c r="A222" s="24" t="s">
        <v>2339</v>
      </c>
      <c r="B222" s="2" t="s">
        <v>3</v>
      </c>
      <c r="C222" s="2" t="s">
        <v>360</v>
      </c>
      <c r="D222" s="2" t="s">
        <v>359</v>
      </c>
      <c r="E222" s="2" t="s">
        <v>350</v>
      </c>
      <c r="F222" s="2" t="s">
        <v>361</v>
      </c>
      <c r="G222" s="2" t="s">
        <v>4447</v>
      </c>
    </row>
    <row r="223" spans="1:7" x14ac:dyDescent="0.25">
      <c r="A223" s="24" t="s">
        <v>2340</v>
      </c>
      <c r="B223" s="2" t="s">
        <v>3</v>
      </c>
      <c r="C223" s="2" t="s">
        <v>360</v>
      </c>
      <c r="D223" s="2" t="s">
        <v>359</v>
      </c>
      <c r="E223" s="2" t="s">
        <v>350</v>
      </c>
      <c r="F223" s="2" t="s">
        <v>4448</v>
      </c>
      <c r="G223" s="2" t="s">
        <v>4449</v>
      </c>
    </row>
    <row r="224" spans="1:7" x14ac:dyDescent="0.25">
      <c r="A224" s="24" t="s">
        <v>2341</v>
      </c>
      <c r="B224" s="2" t="s">
        <v>3</v>
      </c>
      <c r="C224" s="2" t="s">
        <v>594</v>
      </c>
      <c r="D224" s="2" t="s">
        <v>593</v>
      </c>
      <c r="E224" s="2" t="s">
        <v>350</v>
      </c>
      <c r="F224" s="2" t="s">
        <v>4450</v>
      </c>
      <c r="G224" s="2" t="s">
        <v>4451</v>
      </c>
    </row>
    <row r="225" spans="1:7" x14ac:dyDescent="0.25">
      <c r="A225" s="24" t="s">
        <v>2342</v>
      </c>
      <c r="B225" s="2" t="s">
        <v>3</v>
      </c>
      <c r="C225" s="2" t="s">
        <v>812</v>
      </c>
      <c r="D225" s="2" t="s">
        <v>848</v>
      </c>
      <c r="E225" s="2" t="s">
        <v>346</v>
      </c>
      <c r="F225" s="2" t="s">
        <v>813</v>
      </c>
      <c r="G225" s="2" t="s">
        <v>4452</v>
      </c>
    </row>
    <row r="226" spans="1:7" x14ac:dyDescent="0.25">
      <c r="A226" s="24" t="s">
        <v>2343</v>
      </c>
      <c r="B226" s="2" t="s">
        <v>3</v>
      </c>
      <c r="C226" s="2" t="s">
        <v>318</v>
      </c>
      <c r="D226" s="2" t="s">
        <v>317</v>
      </c>
      <c r="E226" s="2" t="s">
        <v>237</v>
      </c>
      <c r="F226" s="2" t="s">
        <v>319</v>
      </c>
      <c r="G226" s="2" t="s">
        <v>4453</v>
      </c>
    </row>
    <row r="227" spans="1:7" x14ac:dyDescent="0.25">
      <c r="A227" s="24" t="s">
        <v>2344</v>
      </c>
      <c r="B227" s="2" t="s">
        <v>3</v>
      </c>
      <c r="C227" s="2" t="s">
        <v>553</v>
      </c>
      <c r="D227" s="2" t="s">
        <v>552</v>
      </c>
      <c r="E227" s="2" t="s">
        <v>346</v>
      </c>
      <c r="F227" s="2" t="s">
        <v>4454</v>
      </c>
      <c r="G227" s="2" t="s">
        <v>4455</v>
      </c>
    </row>
    <row r="228" spans="1:7" x14ac:dyDescent="0.25">
      <c r="A228" s="24" t="s">
        <v>2345</v>
      </c>
      <c r="B228" s="2" t="s">
        <v>3</v>
      </c>
      <c r="C228" s="2" t="s">
        <v>412</v>
      </c>
      <c r="D228" s="2" t="s">
        <v>411</v>
      </c>
      <c r="E228" s="2" t="s">
        <v>174</v>
      </c>
      <c r="F228" s="2" t="s">
        <v>4456</v>
      </c>
      <c r="G228" s="2" t="s">
        <v>4457</v>
      </c>
    </row>
    <row r="229" spans="1:7" x14ac:dyDescent="0.25">
      <c r="A229" s="24" t="s">
        <v>2346</v>
      </c>
      <c r="B229" s="2" t="s">
        <v>3</v>
      </c>
      <c r="C229" s="2" t="s">
        <v>4458</v>
      </c>
      <c r="D229" s="2" t="s">
        <v>4584</v>
      </c>
      <c r="E229" s="2" t="s">
        <v>519</v>
      </c>
      <c r="F229" s="2" t="s">
        <v>4459</v>
      </c>
      <c r="G229" s="2" t="s">
        <v>4460</v>
      </c>
    </row>
    <row r="230" spans="1:7" x14ac:dyDescent="0.25">
      <c r="A230" s="24" t="s">
        <v>2347</v>
      </c>
      <c r="B230" s="2" t="s">
        <v>3</v>
      </c>
      <c r="C230" s="2" t="s">
        <v>4461</v>
      </c>
      <c r="D230" s="2" t="s">
        <v>849</v>
      </c>
      <c r="E230" s="2" t="s">
        <v>135</v>
      </c>
      <c r="F230" s="2" t="s">
        <v>4462</v>
      </c>
      <c r="G230" s="2" t="s">
        <v>4463</v>
      </c>
    </row>
    <row r="231" spans="1:7" x14ac:dyDescent="0.25">
      <c r="A231" s="24" t="s">
        <v>2348</v>
      </c>
      <c r="B231" s="2" t="s">
        <v>3</v>
      </c>
      <c r="C231" s="2" t="s">
        <v>4464</v>
      </c>
      <c r="D231" s="2" t="s">
        <v>850</v>
      </c>
      <c r="E231" s="2" t="s">
        <v>135</v>
      </c>
      <c r="F231" s="2" t="s">
        <v>4465</v>
      </c>
      <c r="G231" s="2" t="s">
        <v>4466</v>
      </c>
    </row>
    <row r="232" spans="1:7" x14ac:dyDescent="0.25">
      <c r="A232" s="24" t="s">
        <v>2349</v>
      </c>
      <c r="B232" s="2" t="s">
        <v>3</v>
      </c>
      <c r="C232" s="2" t="s">
        <v>4467</v>
      </c>
      <c r="D232" s="2" t="s">
        <v>851</v>
      </c>
      <c r="E232" s="2" t="s">
        <v>135</v>
      </c>
      <c r="F232" s="2" t="s">
        <v>4468</v>
      </c>
      <c r="G232" s="2" t="s">
        <v>4469</v>
      </c>
    </row>
    <row r="233" spans="1:7" x14ac:dyDescent="0.25">
      <c r="A233" s="24" t="s">
        <v>2350</v>
      </c>
      <c r="B233" s="2" t="s">
        <v>3</v>
      </c>
      <c r="C233" s="2" t="s">
        <v>4470</v>
      </c>
      <c r="D233" s="2" t="s">
        <v>852</v>
      </c>
      <c r="E233" s="2" t="s">
        <v>135</v>
      </c>
      <c r="F233" s="2" t="s">
        <v>4471</v>
      </c>
      <c r="G233" s="2" t="s">
        <v>4472</v>
      </c>
    </row>
    <row r="234" spans="1:7" x14ac:dyDescent="0.25">
      <c r="A234" s="24" t="s">
        <v>2351</v>
      </c>
      <c r="B234" s="2" t="s">
        <v>3</v>
      </c>
      <c r="C234" s="2" t="s">
        <v>4473</v>
      </c>
      <c r="D234" s="2" t="s">
        <v>4585</v>
      </c>
      <c r="E234" s="2" t="s">
        <v>519</v>
      </c>
      <c r="F234" s="2" t="s">
        <v>4474</v>
      </c>
      <c r="G234" s="2" t="s">
        <v>4475</v>
      </c>
    </row>
    <row r="235" spans="1:7" x14ac:dyDescent="0.25">
      <c r="A235" s="24" t="s">
        <v>2352</v>
      </c>
      <c r="B235" s="2" t="s">
        <v>3</v>
      </c>
      <c r="C235" s="2" t="s">
        <v>440</v>
      </c>
      <c r="D235" s="2" t="s">
        <v>439</v>
      </c>
      <c r="E235" s="2" t="s">
        <v>422</v>
      </c>
      <c r="F235" s="2" t="s">
        <v>4476</v>
      </c>
      <c r="G235" s="2" t="s">
        <v>4477</v>
      </c>
    </row>
    <row r="236" spans="1:7" x14ac:dyDescent="0.25">
      <c r="A236" s="24" t="s">
        <v>2353</v>
      </c>
      <c r="B236" s="2" t="s">
        <v>3</v>
      </c>
      <c r="C236" s="2" t="s">
        <v>230</v>
      </c>
      <c r="D236" s="2" t="s">
        <v>229</v>
      </c>
      <c r="E236" s="2" t="s">
        <v>211</v>
      </c>
      <c r="F236" s="2" t="s">
        <v>231</v>
      </c>
      <c r="G236" s="2" t="s">
        <v>4478</v>
      </c>
    </row>
    <row r="237" spans="1:7" x14ac:dyDescent="0.25">
      <c r="A237" s="24" t="s">
        <v>2354</v>
      </c>
      <c r="B237" s="2" t="s">
        <v>3</v>
      </c>
      <c r="C237" s="2" t="s">
        <v>4479</v>
      </c>
      <c r="D237" s="2" t="s">
        <v>853</v>
      </c>
      <c r="E237" s="2" t="s">
        <v>135</v>
      </c>
      <c r="F237" s="2" t="s">
        <v>4480</v>
      </c>
      <c r="G237" s="2" t="s">
        <v>4481</v>
      </c>
    </row>
    <row r="238" spans="1:7" x14ac:dyDescent="0.25">
      <c r="A238" s="24" t="s">
        <v>2355</v>
      </c>
      <c r="B238" s="2" t="s">
        <v>3</v>
      </c>
      <c r="C238" s="2" t="s">
        <v>192</v>
      </c>
      <c r="D238" s="2" t="s">
        <v>190</v>
      </c>
      <c r="E238" s="2" t="s">
        <v>191</v>
      </c>
      <c r="F238" s="2" t="s">
        <v>193</v>
      </c>
      <c r="G238" s="2" t="s">
        <v>4482</v>
      </c>
    </row>
    <row r="239" spans="1:7" x14ac:dyDescent="0.25">
      <c r="A239" s="24" t="s">
        <v>2356</v>
      </c>
      <c r="B239" s="2" t="s">
        <v>3</v>
      </c>
      <c r="C239" s="2" t="s">
        <v>438</v>
      </c>
      <c r="D239" s="2" t="s">
        <v>437</v>
      </c>
      <c r="E239" s="2" t="s">
        <v>422</v>
      </c>
      <c r="F239" s="2" t="s">
        <v>4483</v>
      </c>
      <c r="G239" s="2" t="s">
        <v>4484</v>
      </c>
    </row>
    <row r="240" spans="1:7" x14ac:dyDescent="0.25">
      <c r="A240" s="24" t="s">
        <v>2357</v>
      </c>
      <c r="B240" s="2" t="s">
        <v>3</v>
      </c>
      <c r="C240" s="2" t="s">
        <v>270</v>
      </c>
      <c r="D240" s="2" t="s">
        <v>269</v>
      </c>
      <c r="E240" s="2" t="s">
        <v>114</v>
      </c>
      <c r="F240" s="2" t="s">
        <v>271</v>
      </c>
      <c r="G240" s="2" t="s">
        <v>4485</v>
      </c>
    </row>
    <row r="241" spans="1:7" x14ac:dyDescent="0.25">
      <c r="A241" s="24" t="s">
        <v>2358</v>
      </c>
      <c r="B241" s="2" t="s">
        <v>3</v>
      </c>
      <c r="C241" s="2" t="s">
        <v>221</v>
      </c>
      <c r="D241" s="2" t="s">
        <v>220</v>
      </c>
      <c r="E241" s="2" t="s">
        <v>211</v>
      </c>
      <c r="F241" s="2" t="s">
        <v>222</v>
      </c>
      <c r="G241" s="2" t="s">
        <v>4486</v>
      </c>
    </row>
    <row r="242" spans="1:7" x14ac:dyDescent="0.25">
      <c r="A242" s="24" t="s">
        <v>2359</v>
      </c>
      <c r="B242" s="2" t="s">
        <v>3</v>
      </c>
      <c r="C242" s="2" t="s">
        <v>354</v>
      </c>
      <c r="D242" s="2" t="s">
        <v>353</v>
      </c>
      <c r="E242" s="2" t="s">
        <v>350</v>
      </c>
      <c r="F242" s="2" t="s">
        <v>355</v>
      </c>
      <c r="G242" s="2" t="s">
        <v>4487</v>
      </c>
    </row>
    <row r="243" spans="1:7" x14ac:dyDescent="0.25">
      <c r="A243" s="24" t="s">
        <v>2360</v>
      </c>
      <c r="B243" s="2" t="s">
        <v>3</v>
      </c>
      <c r="C243" s="2" t="s">
        <v>541</v>
      </c>
      <c r="D243" s="2" t="s">
        <v>540</v>
      </c>
      <c r="E243" s="2" t="s">
        <v>446</v>
      </c>
      <c r="F243" s="2" t="s">
        <v>4488</v>
      </c>
      <c r="G243" s="2" t="s">
        <v>4489</v>
      </c>
    </row>
    <row r="244" spans="1:7" x14ac:dyDescent="0.25">
      <c r="A244" s="24" t="s">
        <v>2361</v>
      </c>
      <c r="B244" s="2" t="s">
        <v>3</v>
      </c>
      <c r="C244" s="2" t="s">
        <v>4490</v>
      </c>
      <c r="D244" s="2" t="s">
        <v>854</v>
      </c>
      <c r="E244" s="2" t="s">
        <v>247</v>
      </c>
      <c r="F244" s="2" t="s">
        <v>4491</v>
      </c>
      <c r="G244" s="2" t="s">
        <v>4492</v>
      </c>
    </row>
    <row r="245" spans="1:7" x14ac:dyDescent="0.25">
      <c r="A245" s="24" t="s">
        <v>2362</v>
      </c>
      <c r="B245" s="2" t="s">
        <v>3</v>
      </c>
      <c r="C245" s="2" t="s">
        <v>241</v>
      </c>
      <c r="D245" s="2" t="s">
        <v>240</v>
      </c>
      <c r="E245" s="2" t="s">
        <v>233</v>
      </c>
      <c r="F245" s="2" t="s">
        <v>242</v>
      </c>
      <c r="G245" s="2" t="s">
        <v>4493</v>
      </c>
    </row>
    <row r="246" spans="1:7" x14ac:dyDescent="0.25">
      <c r="A246" s="24" t="s">
        <v>2363</v>
      </c>
      <c r="B246" s="2" t="s">
        <v>3</v>
      </c>
      <c r="C246" s="2" t="s">
        <v>244</v>
      </c>
      <c r="D246" s="2" t="s">
        <v>243</v>
      </c>
      <c r="E246" s="2" t="s">
        <v>174</v>
      </c>
      <c r="F246" s="2" t="s">
        <v>245</v>
      </c>
      <c r="G246" s="2" t="s">
        <v>4494</v>
      </c>
    </row>
    <row r="247" spans="1:7" x14ac:dyDescent="0.25">
      <c r="A247" s="24" t="s">
        <v>2364</v>
      </c>
      <c r="B247" s="2" t="s">
        <v>3</v>
      </c>
      <c r="C247" s="2" t="s">
        <v>579</v>
      </c>
      <c r="D247" s="2" t="s">
        <v>578</v>
      </c>
      <c r="E247" s="2" t="s">
        <v>346</v>
      </c>
      <c r="F247" s="2" t="s">
        <v>4495</v>
      </c>
      <c r="G247" s="2" t="s">
        <v>4496</v>
      </c>
    </row>
    <row r="248" spans="1:7" x14ac:dyDescent="0.25">
      <c r="A248" s="24" t="s">
        <v>2365</v>
      </c>
      <c r="B248" s="2" t="s">
        <v>3</v>
      </c>
      <c r="C248" s="2" t="s">
        <v>814</v>
      </c>
      <c r="D248" s="2" t="s">
        <v>855</v>
      </c>
      <c r="E248" s="2" t="s">
        <v>346</v>
      </c>
      <c r="F248" s="2" t="s">
        <v>815</v>
      </c>
      <c r="G248" s="2" t="s">
        <v>4497</v>
      </c>
    </row>
    <row r="249" spans="1:7" x14ac:dyDescent="0.25">
      <c r="A249" s="24" t="s">
        <v>2366</v>
      </c>
      <c r="B249" s="2" t="s">
        <v>3</v>
      </c>
      <c r="C249" s="2" t="s">
        <v>140</v>
      </c>
      <c r="D249" s="2" t="s">
        <v>138</v>
      </c>
      <c r="E249" s="2" t="s">
        <v>139</v>
      </c>
      <c r="F249" s="2" t="s">
        <v>141</v>
      </c>
      <c r="G249" s="2" t="s">
        <v>4498</v>
      </c>
    </row>
    <row r="250" spans="1:7" x14ac:dyDescent="0.25">
      <c r="A250" s="24" t="s">
        <v>2367</v>
      </c>
      <c r="B250" s="2" t="s">
        <v>3</v>
      </c>
      <c r="C250" s="2" t="s">
        <v>610</v>
      </c>
      <c r="D250" s="2" t="s">
        <v>609</v>
      </c>
      <c r="E250" s="2" t="s">
        <v>266</v>
      </c>
      <c r="F250" s="2" t="s">
        <v>4499</v>
      </c>
      <c r="G250" s="2" t="s">
        <v>4500</v>
      </c>
    </row>
    <row r="251" spans="1:7" x14ac:dyDescent="0.25">
      <c r="A251" s="24" t="s">
        <v>2368</v>
      </c>
      <c r="B251" s="2" t="s">
        <v>3</v>
      </c>
      <c r="C251" s="2" t="s">
        <v>267</v>
      </c>
      <c r="D251" s="2" t="s">
        <v>265</v>
      </c>
      <c r="E251" s="2" t="s">
        <v>266</v>
      </c>
      <c r="F251" s="2" t="s">
        <v>268</v>
      </c>
      <c r="G251" s="2" t="s">
        <v>4501</v>
      </c>
    </row>
    <row r="252" spans="1:7" x14ac:dyDescent="0.25">
      <c r="A252" s="24" t="s">
        <v>2369</v>
      </c>
      <c r="B252" s="2" t="s">
        <v>3</v>
      </c>
      <c r="C252" s="2" t="s">
        <v>464</v>
      </c>
      <c r="D252" s="2" t="s">
        <v>463</v>
      </c>
      <c r="E252" s="2" t="s">
        <v>237</v>
      </c>
      <c r="F252" s="2" t="s">
        <v>4502</v>
      </c>
      <c r="G252" s="2" t="s">
        <v>4503</v>
      </c>
    </row>
    <row r="253" spans="1:7" x14ac:dyDescent="0.25">
      <c r="A253" s="24" t="s">
        <v>2370</v>
      </c>
      <c r="B253" s="2" t="s">
        <v>3</v>
      </c>
      <c r="C253" s="2" t="s">
        <v>4504</v>
      </c>
      <c r="D253" s="2" t="s">
        <v>856</v>
      </c>
      <c r="E253" s="2" t="s">
        <v>422</v>
      </c>
      <c r="F253" s="2" t="s">
        <v>4505</v>
      </c>
      <c r="G253" s="2" t="s">
        <v>4506</v>
      </c>
    </row>
    <row r="254" spans="1:7" x14ac:dyDescent="0.25">
      <c r="A254" s="24" t="s">
        <v>2370</v>
      </c>
      <c r="B254" s="2" t="s">
        <v>3</v>
      </c>
      <c r="C254" s="2" t="s">
        <v>4504</v>
      </c>
      <c r="D254" s="2" t="s">
        <v>856</v>
      </c>
      <c r="E254" s="2" t="s">
        <v>143</v>
      </c>
      <c r="F254" s="2" t="s">
        <v>4505</v>
      </c>
      <c r="G254" s="2" t="s">
        <v>4507</v>
      </c>
    </row>
    <row r="255" spans="1:7" x14ac:dyDescent="0.25">
      <c r="A255" s="24" t="s">
        <v>2371</v>
      </c>
      <c r="B255" s="2" t="s">
        <v>3</v>
      </c>
      <c r="C255" s="2" t="s">
        <v>612</v>
      </c>
      <c r="D255" s="2" t="s">
        <v>611</v>
      </c>
      <c r="E255" s="2" t="s">
        <v>266</v>
      </c>
      <c r="F255" s="2" t="s">
        <v>4508</v>
      </c>
      <c r="G255" s="2" t="s">
        <v>4509</v>
      </c>
    </row>
    <row r="256" spans="1:7" x14ac:dyDescent="0.25">
      <c r="A256" s="24" t="s">
        <v>2372</v>
      </c>
      <c r="B256" s="2" t="s">
        <v>3</v>
      </c>
      <c r="C256" s="2" t="s">
        <v>608</v>
      </c>
      <c r="D256" s="2" t="s">
        <v>607</v>
      </c>
      <c r="E256" s="2" t="s">
        <v>266</v>
      </c>
      <c r="F256" s="2" t="s">
        <v>4510</v>
      </c>
      <c r="G256" s="2" t="s">
        <v>4511</v>
      </c>
    </row>
    <row r="257" spans="1:7" x14ac:dyDescent="0.25">
      <c r="A257" s="24" t="s">
        <v>2373</v>
      </c>
      <c r="B257" s="2" t="s">
        <v>3</v>
      </c>
      <c r="C257" s="2" t="s">
        <v>606</v>
      </c>
      <c r="D257" s="2" t="s">
        <v>605</v>
      </c>
      <c r="E257" s="2" t="s">
        <v>266</v>
      </c>
      <c r="F257" s="2" t="s">
        <v>4512</v>
      </c>
      <c r="G257" s="2" t="s">
        <v>4513</v>
      </c>
    </row>
    <row r="258" spans="1:7" x14ac:dyDescent="0.25">
      <c r="A258" s="24" t="s">
        <v>2374</v>
      </c>
      <c r="B258" s="2" t="s">
        <v>3</v>
      </c>
      <c r="C258" s="2" t="s">
        <v>4514</v>
      </c>
      <c r="D258" s="2" t="s">
        <v>4586</v>
      </c>
      <c r="E258" s="2" t="s">
        <v>266</v>
      </c>
      <c r="F258" s="2" t="s">
        <v>4515</v>
      </c>
      <c r="G258" s="2" t="s">
        <v>4516</v>
      </c>
    </row>
    <row r="259" spans="1:7" x14ac:dyDescent="0.25">
      <c r="A259" s="24" t="s">
        <v>2375</v>
      </c>
      <c r="B259" s="2" t="s">
        <v>3</v>
      </c>
      <c r="C259" s="2" t="s">
        <v>274</v>
      </c>
      <c r="D259" s="2" t="s">
        <v>272</v>
      </c>
      <c r="E259" s="2" t="s">
        <v>273</v>
      </c>
      <c r="F259" s="2" t="s">
        <v>275</v>
      </c>
      <c r="G259" s="2" t="s">
        <v>4517</v>
      </c>
    </row>
    <row r="260" spans="1:7" x14ac:dyDescent="0.25">
      <c r="A260" s="24" t="s">
        <v>2376</v>
      </c>
      <c r="B260" s="2" t="s">
        <v>3</v>
      </c>
      <c r="C260" s="2" t="s">
        <v>539</v>
      </c>
      <c r="D260" s="2" t="s">
        <v>538</v>
      </c>
      <c r="E260" s="2" t="s">
        <v>446</v>
      </c>
      <c r="F260" s="2" t="s">
        <v>4518</v>
      </c>
      <c r="G260" s="2" t="s">
        <v>4519</v>
      </c>
    </row>
    <row r="261" spans="1:7" x14ac:dyDescent="0.25">
      <c r="A261" s="24" t="s">
        <v>2377</v>
      </c>
      <c r="B261" s="2" t="s">
        <v>3</v>
      </c>
      <c r="C261" s="2" t="s">
        <v>171</v>
      </c>
      <c r="D261" s="2" t="s">
        <v>170</v>
      </c>
      <c r="E261" s="2" t="s">
        <v>147</v>
      </c>
      <c r="F261" s="2" t="s">
        <v>172</v>
      </c>
      <c r="G261" s="2" t="s">
        <v>4520</v>
      </c>
    </row>
    <row r="262" spans="1:7" x14ac:dyDescent="0.25">
      <c r="A262" s="24" t="s">
        <v>2378</v>
      </c>
      <c r="B262" s="2" t="s">
        <v>3</v>
      </c>
      <c r="C262" s="2" t="s">
        <v>498</v>
      </c>
      <c r="D262" s="2" t="s">
        <v>497</v>
      </c>
      <c r="E262" s="2" t="s">
        <v>491</v>
      </c>
      <c r="F262" s="2" t="s">
        <v>4521</v>
      </c>
      <c r="G262" s="2" t="s">
        <v>4522</v>
      </c>
    </row>
    <row r="263" spans="1:7" x14ac:dyDescent="0.25">
      <c r="A263" s="24" t="s">
        <v>2379</v>
      </c>
      <c r="B263" s="2" t="s">
        <v>3</v>
      </c>
      <c r="C263" s="2" t="s">
        <v>531</v>
      </c>
      <c r="D263" s="2" t="s">
        <v>530</v>
      </c>
      <c r="E263" s="2" t="s">
        <v>522</v>
      </c>
      <c r="F263" s="2" t="s">
        <v>4523</v>
      </c>
      <c r="G263" s="2" t="s">
        <v>4524</v>
      </c>
    </row>
    <row r="264" spans="1:7" x14ac:dyDescent="0.25">
      <c r="A264" s="24" t="s">
        <v>2380</v>
      </c>
      <c r="B264" s="2" t="s">
        <v>3</v>
      </c>
      <c r="C264" s="2" t="s">
        <v>394</v>
      </c>
      <c r="D264" s="2" t="s">
        <v>393</v>
      </c>
      <c r="E264" s="2" t="s">
        <v>158</v>
      </c>
      <c r="F264" s="2" t="s">
        <v>4525</v>
      </c>
      <c r="G264" s="2" t="s">
        <v>4526</v>
      </c>
    </row>
    <row r="265" spans="1:7" x14ac:dyDescent="0.25">
      <c r="A265" s="24" t="s">
        <v>2381</v>
      </c>
      <c r="B265" s="2" t="s">
        <v>3</v>
      </c>
      <c r="C265" s="2" t="s">
        <v>462</v>
      </c>
      <c r="D265" s="2" t="s">
        <v>461</v>
      </c>
      <c r="E265" s="2" t="s">
        <v>247</v>
      </c>
      <c r="F265" s="2" t="s">
        <v>4527</v>
      </c>
      <c r="G265" s="2" t="s">
        <v>4528</v>
      </c>
    </row>
    <row r="266" spans="1:7" x14ac:dyDescent="0.25">
      <c r="A266" s="24" t="s">
        <v>2382</v>
      </c>
      <c r="B266" s="2" t="s">
        <v>3</v>
      </c>
      <c r="C266" s="2" t="s">
        <v>460</v>
      </c>
      <c r="D266" s="2" t="s">
        <v>459</v>
      </c>
      <c r="E266" s="2" t="s">
        <v>247</v>
      </c>
      <c r="F266" s="2" t="s">
        <v>4529</v>
      </c>
      <c r="G266" s="2" t="s">
        <v>4530</v>
      </c>
    </row>
    <row r="267" spans="1:7" x14ac:dyDescent="0.25">
      <c r="A267" s="24" t="s">
        <v>2383</v>
      </c>
      <c r="B267" s="2" t="s">
        <v>3</v>
      </c>
      <c r="C267" s="2" t="s">
        <v>257</v>
      </c>
      <c r="D267" s="2" t="s">
        <v>256</v>
      </c>
      <c r="E267" s="2" t="s">
        <v>247</v>
      </c>
      <c r="F267" s="2" t="s">
        <v>258</v>
      </c>
      <c r="G267" s="2" t="s">
        <v>4531</v>
      </c>
    </row>
    <row r="268" spans="1:7" x14ac:dyDescent="0.25">
      <c r="A268" s="24" t="s">
        <v>2384</v>
      </c>
      <c r="B268" s="2" t="s">
        <v>3</v>
      </c>
      <c r="C268" s="2" t="s">
        <v>260</v>
      </c>
      <c r="D268" s="2" t="s">
        <v>259</v>
      </c>
      <c r="E268" s="2" t="s">
        <v>247</v>
      </c>
      <c r="F268" s="2" t="s">
        <v>261</v>
      </c>
      <c r="G268" s="2" t="s">
        <v>4532</v>
      </c>
    </row>
    <row r="269" spans="1:7" x14ac:dyDescent="0.25">
      <c r="A269" s="24" t="s">
        <v>2385</v>
      </c>
      <c r="B269" s="2" t="s">
        <v>3</v>
      </c>
      <c r="C269" s="2" t="s">
        <v>363</v>
      </c>
      <c r="D269" s="2" t="s">
        <v>362</v>
      </c>
      <c r="E269" s="2" t="s">
        <v>350</v>
      </c>
      <c r="F269" s="2" t="s">
        <v>364</v>
      </c>
      <c r="G269" s="2" t="s">
        <v>4533</v>
      </c>
    </row>
    <row r="270" spans="1:7" x14ac:dyDescent="0.25">
      <c r="A270" s="24" t="s">
        <v>2386</v>
      </c>
      <c r="B270" s="2" t="s">
        <v>3</v>
      </c>
      <c r="C270" s="2" t="s">
        <v>816</v>
      </c>
      <c r="D270" s="2" t="s">
        <v>580</v>
      </c>
      <c r="E270" s="2" t="s">
        <v>346</v>
      </c>
      <c r="F270" s="2" t="s">
        <v>817</v>
      </c>
      <c r="G270" s="2" t="s">
        <v>4534</v>
      </c>
    </row>
    <row r="271" spans="1:7" x14ac:dyDescent="0.25">
      <c r="A271" s="24" t="s">
        <v>2387</v>
      </c>
      <c r="B271" s="2" t="s">
        <v>3</v>
      </c>
      <c r="C271" s="2" t="s">
        <v>581</v>
      </c>
      <c r="D271" s="2" t="s">
        <v>580</v>
      </c>
      <c r="E271" s="2" t="s">
        <v>346</v>
      </c>
      <c r="F271" s="2" t="s">
        <v>4535</v>
      </c>
      <c r="G271" s="2" t="s">
        <v>4536</v>
      </c>
    </row>
    <row r="272" spans="1:7" x14ac:dyDescent="0.25">
      <c r="A272" s="24" t="s">
        <v>2388</v>
      </c>
      <c r="B272" s="2" t="s">
        <v>3</v>
      </c>
      <c r="C272" s="2" t="s">
        <v>175</v>
      </c>
      <c r="D272" s="2" t="s">
        <v>173</v>
      </c>
      <c r="E272" s="2" t="s">
        <v>174</v>
      </c>
      <c r="F272" s="2" t="s">
        <v>176</v>
      </c>
      <c r="G272" s="2" t="s">
        <v>4537</v>
      </c>
    </row>
    <row r="273" spans="1:7" x14ac:dyDescent="0.25">
      <c r="A273" s="24" t="s">
        <v>2389</v>
      </c>
      <c r="B273" s="2" t="s">
        <v>3</v>
      </c>
      <c r="C273" s="2" t="s">
        <v>178</v>
      </c>
      <c r="D273" s="2" t="s">
        <v>177</v>
      </c>
      <c r="E273" s="2" t="s">
        <v>174</v>
      </c>
      <c r="F273" s="2" t="s">
        <v>179</v>
      </c>
      <c r="G273" s="2" t="s">
        <v>4538</v>
      </c>
    </row>
    <row r="274" spans="1:7" x14ac:dyDescent="0.25">
      <c r="A274" s="24" t="s">
        <v>2390</v>
      </c>
      <c r="B274" s="2" t="s">
        <v>3</v>
      </c>
      <c r="C274" s="2" t="s">
        <v>4539</v>
      </c>
      <c r="D274" s="2" t="s">
        <v>4587</v>
      </c>
      <c r="E274" s="2" t="s">
        <v>237</v>
      </c>
      <c r="F274" s="2" t="s">
        <v>4540</v>
      </c>
      <c r="G274" s="2" t="s">
        <v>4541</v>
      </c>
    </row>
    <row r="275" spans="1:7" x14ac:dyDescent="0.25">
      <c r="A275" s="24" t="s">
        <v>2391</v>
      </c>
      <c r="B275" s="2" t="s">
        <v>3</v>
      </c>
      <c r="C275" s="2" t="s">
        <v>743</v>
      </c>
      <c r="D275" s="2" t="s">
        <v>857</v>
      </c>
      <c r="E275" s="2" t="s">
        <v>237</v>
      </c>
      <c r="F275" s="2" t="s">
        <v>744</v>
      </c>
      <c r="G275" s="2" t="s">
        <v>4542</v>
      </c>
    </row>
    <row r="276" spans="1:7" x14ac:dyDescent="0.25">
      <c r="A276" s="24" t="s">
        <v>2392</v>
      </c>
      <c r="B276" s="2" t="s">
        <v>3</v>
      </c>
      <c r="C276" s="2" t="s">
        <v>4543</v>
      </c>
      <c r="D276" s="2" t="s">
        <v>858</v>
      </c>
      <c r="E276" s="2" t="s">
        <v>143</v>
      </c>
      <c r="F276" s="2" t="s">
        <v>4544</v>
      </c>
      <c r="G276" s="2" t="s">
        <v>4545</v>
      </c>
    </row>
    <row r="277" spans="1:7" x14ac:dyDescent="0.25">
      <c r="A277" s="24" t="s">
        <v>2393</v>
      </c>
      <c r="B277" s="2" t="s">
        <v>3</v>
      </c>
      <c r="C277" s="2" t="s">
        <v>577</v>
      </c>
      <c r="D277" s="2" t="s">
        <v>576</v>
      </c>
      <c r="E277" s="2" t="s">
        <v>346</v>
      </c>
      <c r="F277" s="2" t="s">
        <v>4546</v>
      </c>
      <c r="G277" s="2" t="s">
        <v>4547</v>
      </c>
    </row>
    <row r="278" spans="1:7" x14ac:dyDescent="0.25">
      <c r="A278" s="24" t="s">
        <v>2394</v>
      </c>
      <c r="B278" s="2" t="s">
        <v>3</v>
      </c>
      <c r="C278" s="2" t="s">
        <v>818</v>
      </c>
      <c r="D278" s="2" t="s">
        <v>859</v>
      </c>
      <c r="E278" s="2" t="s">
        <v>346</v>
      </c>
      <c r="F278" s="2" t="s">
        <v>819</v>
      </c>
      <c r="G278" s="2" t="s">
        <v>4548</v>
      </c>
    </row>
    <row r="279" spans="1:7" x14ac:dyDescent="0.25">
      <c r="A279" s="24" t="s">
        <v>2395</v>
      </c>
      <c r="B279" s="2" t="s">
        <v>3</v>
      </c>
      <c r="C279" s="2" t="s">
        <v>494</v>
      </c>
      <c r="D279" s="2" t="s">
        <v>493</v>
      </c>
      <c r="E279" s="2" t="s">
        <v>491</v>
      </c>
      <c r="F279" s="2" t="s">
        <v>4549</v>
      </c>
      <c r="G279" s="2" t="s">
        <v>4550</v>
      </c>
    </row>
    <row r="280" spans="1:7" x14ac:dyDescent="0.25">
      <c r="A280" s="24" t="s">
        <v>2396</v>
      </c>
      <c r="B280" s="2" t="s">
        <v>3</v>
      </c>
      <c r="C280" s="2" t="s">
        <v>280</v>
      </c>
      <c r="D280" s="2" t="s">
        <v>279</v>
      </c>
      <c r="E280" s="2" t="s">
        <v>147</v>
      </c>
      <c r="F280" s="2" t="s">
        <v>281</v>
      </c>
      <c r="G280" s="2" t="s">
        <v>4551</v>
      </c>
    </row>
    <row r="281" spans="1:7" x14ac:dyDescent="0.25">
      <c r="A281" s="24" t="s">
        <v>2397</v>
      </c>
      <c r="B281" s="2" t="s">
        <v>3</v>
      </c>
      <c r="C281" s="2" t="s">
        <v>416</v>
      </c>
      <c r="D281" s="2" t="s">
        <v>415</v>
      </c>
      <c r="E281" s="2" t="s">
        <v>174</v>
      </c>
      <c r="F281" s="2" t="s">
        <v>4552</v>
      </c>
      <c r="G281" s="2" t="s">
        <v>4553</v>
      </c>
    </row>
    <row r="282" spans="1:7" x14ac:dyDescent="0.25">
      <c r="A282" s="24" t="s">
        <v>2398</v>
      </c>
      <c r="B282" s="2" t="s">
        <v>3</v>
      </c>
      <c r="C282" s="2" t="s">
        <v>480</v>
      </c>
      <c r="D282" s="2" t="s">
        <v>479</v>
      </c>
      <c r="E282" s="2" t="s">
        <v>121</v>
      </c>
      <c r="F282" s="2" t="s">
        <v>4554</v>
      </c>
      <c r="G282" s="2" t="s">
        <v>4555</v>
      </c>
    </row>
    <row r="283" spans="1:7" x14ac:dyDescent="0.25">
      <c r="A283" s="24" t="s">
        <v>2399</v>
      </c>
      <c r="B283" s="2" t="s">
        <v>3</v>
      </c>
      <c r="C283" s="2" t="s">
        <v>573</v>
      </c>
      <c r="D283" s="2" t="s">
        <v>572</v>
      </c>
      <c r="E283" s="2" t="s">
        <v>346</v>
      </c>
      <c r="F283" s="2" t="s">
        <v>4556</v>
      </c>
      <c r="G283" s="2" t="s">
        <v>4557</v>
      </c>
    </row>
    <row r="284" spans="1:7" x14ac:dyDescent="0.25">
      <c r="A284" s="24" t="s">
        <v>2400</v>
      </c>
      <c r="B284" s="2" t="s">
        <v>3</v>
      </c>
      <c r="C284" s="2" t="s">
        <v>370</v>
      </c>
      <c r="D284" s="2" t="s">
        <v>369</v>
      </c>
      <c r="E284" s="2" t="s">
        <v>368</v>
      </c>
      <c r="F284" s="2" t="s">
        <v>4558</v>
      </c>
      <c r="G284" s="2" t="s">
        <v>4559</v>
      </c>
    </row>
    <row r="285" spans="1:7" x14ac:dyDescent="0.25">
      <c r="A285" s="24" t="s">
        <v>2401</v>
      </c>
      <c r="B285" s="2" t="s">
        <v>3</v>
      </c>
      <c r="C285" s="2" t="s">
        <v>4560</v>
      </c>
      <c r="D285" s="2" t="s">
        <v>4588</v>
      </c>
      <c r="E285" s="2" t="s">
        <v>114</v>
      </c>
      <c r="F285" s="2" t="s">
        <v>4561</v>
      </c>
      <c r="G285" s="2" t="s">
        <v>4562</v>
      </c>
    </row>
    <row r="286" spans="1:7" x14ac:dyDescent="0.25">
      <c r="A286" s="24" t="s">
        <v>2402</v>
      </c>
      <c r="B286" s="2" t="s">
        <v>3</v>
      </c>
      <c r="C286" s="2" t="s">
        <v>436</v>
      </c>
      <c r="D286" s="2" t="s">
        <v>435</v>
      </c>
      <c r="E286" s="2" t="s">
        <v>191</v>
      </c>
      <c r="F286" s="2" t="s">
        <v>4563</v>
      </c>
      <c r="G286" s="2" t="s">
        <v>4564</v>
      </c>
    </row>
    <row r="287" spans="1:7" x14ac:dyDescent="0.25">
      <c r="A287" s="24" t="s">
        <v>2403</v>
      </c>
      <c r="B287" s="2" t="s">
        <v>3</v>
      </c>
      <c r="C287" s="2" t="s">
        <v>429</v>
      </c>
      <c r="D287" s="2" t="s">
        <v>428</v>
      </c>
      <c r="E287" s="2" t="s">
        <v>191</v>
      </c>
      <c r="F287" s="2" t="s">
        <v>4565</v>
      </c>
      <c r="G287" s="2" t="s">
        <v>4566</v>
      </c>
    </row>
    <row r="288" spans="1:7" x14ac:dyDescent="0.25">
      <c r="A288" s="24" t="s">
        <v>2404</v>
      </c>
      <c r="B288" s="2" t="s">
        <v>3</v>
      </c>
      <c r="C288" s="2" t="s">
        <v>215</v>
      </c>
      <c r="D288" s="2" t="s">
        <v>214</v>
      </c>
      <c r="E288" s="2" t="s">
        <v>191</v>
      </c>
      <c r="F288" s="2" t="s">
        <v>216</v>
      </c>
      <c r="G288" s="2" t="s">
        <v>4567</v>
      </c>
    </row>
    <row r="289" spans="1:7" x14ac:dyDescent="0.25">
      <c r="A289" s="24" t="s">
        <v>2405</v>
      </c>
      <c r="B289" s="2" t="s">
        <v>3</v>
      </c>
      <c r="C289" s="2" t="s">
        <v>202</v>
      </c>
      <c r="D289" s="2" t="s">
        <v>201</v>
      </c>
      <c r="E289" s="2" t="s">
        <v>191</v>
      </c>
      <c r="F289" s="2" t="s">
        <v>203</v>
      </c>
      <c r="G289" s="2" t="s">
        <v>4568</v>
      </c>
    </row>
    <row r="290" spans="1:7" x14ac:dyDescent="0.25">
      <c r="A290" s="24" t="s">
        <v>2406</v>
      </c>
      <c r="B290" s="2" t="s">
        <v>3</v>
      </c>
      <c r="C290" s="2" t="s">
        <v>500</v>
      </c>
      <c r="D290" s="2" t="s">
        <v>499</v>
      </c>
      <c r="E290" s="2" t="s">
        <v>491</v>
      </c>
      <c r="F290" s="2" t="s">
        <v>4569</v>
      </c>
      <c r="G290" s="2" t="s">
        <v>4570</v>
      </c>
    </row>
    <row r="291" spans="1:7" x14ac:dyDescent="0.25">
      <c r="A291" s="24" t="s">
        <v>2407</v>
      </c>
      <c r="B291" s="2" t="s">
        <v>3</v>
      </c>
      <c r="C291" s="2" t="s">
        <v>791</v>
      </c>
      <c r="D291" s="2" t="s">
        <v>860</v>
      </c>
      <c r="E291" s="2" t="s">
        <v>147</v>
      </c>
      <c r="F291" s="2" t="s">
        <v>792</v>
      </c>
      <c r="G291" s="2" t="s">
        <v>4571</v>
      </c>
    </row>
    <row r="292" spans="1:7" x14ac:dyDescent="0.25">
      <c r="A292" s="24" t="s">
        <v>2408</v>
      </c>
      <c r="B292" s="2" t="s">
        <v>3</v>
      </c>
      <c r="C292" s="2" t="s">
        <v>449</v>
      </c>
      <c r="D292" s="2" t="s">
        <v>448</v>
      </c>
      <c r="E292" s="2" t="s">
        <v>446</v>
      </c>
      <c r="F292" s="2" t="s">
        <v>4572</v>
      </c>
      <c r="G292" s="2" t="s">
        <v>4573</v>
      </c>
    </row>
    <row r="293" spans="1:7" x14ac:dyDescent="0.25">
      <c r="A293" s="24" t="s">
        <v>2249</v>
      </c>
      <c r="B293" s="2" t="s">
        <v>3</v>
      </c>
      <c r="C293" s="2" t="s">
        <v>4296</v>
      </c>
      <c r="D293" s="2" t="s">
        <v>4296</v>
      </c>
      <c r="E293" s="2" t="s">
        <v>4297</v>
      </c>
      <c r="F293" s="2" t="s">
        <v>4298</v>
      </c>
      <c r="G293" s="2" t="s">
        <v>4299</v>
      </c>
    </row>
    <row r="294" spans="1:7" x14ac:dyDescent="0.25">
      <c r="A294" s="24" t="s">
        <v>2409</v>
      </c>
      <c r="B294" s="2" t="s">
        <v>3</v>
      </c>
      <c r="C294" s="2" t="s">
        <v>4574</v>
      </c>
      <c r="D294" s="2" t="s">
        <v>861</v>
      </c>
      <c r="E294" s="2" t="s">
        <v>482</v>
      </c>
      <c r="F294" s="2" t="s">
        <v>4575</v>
      </c>
      <c r="G294" s="2" t="s">
        <v>4576</v>
      </c>
    </row>
    <row r="295" spans="1:7" x14ac:dyDescent="0.25">
      <c r="A295" s="24" t="s">
        <v>2410</v>
      </c>
      <c r="B295" s="2" t="s">
        <v>3</v>
      </c>
      <c r="C295" s="2" t="s">
        <v>337</v>
      </c>
      <c r="D295" s="2" t="s">
        <v>336</v>
      </c>
      <c r="E295" s="2" t="s">
        <v>233</v>
      </c>
      <c r="F295" s="2" t="s">
        <v>338</v>
      </c>
      <c r="G295" s="2" t="s">
        <v>4577</v>
      </c>
    </row>
    <row r="296" spans="1:7" x14ac:dyDescent="0.25">
      <c r="A296" s="24" t="s">
        <v>2411</v>
      </c>
      <c r="B296" s="2" t="s">
        <v>3</v>
      </c>
      <c r="C296" s="2" t="s">
        <v>118</v>
      </c>
      <c r="D296" s="2" t="s">
        <v>117</v>
      </c>
      <c r="E296" s="2" t="s">
        <v>114</v>
      </c>
      <c r="F296" s="2" t="s">
        <v>119</v>
      </c>
      <c r="G296" s="2" t="s">
        <v>4578</v>
      </c>
    </row>
    <row r="297" spans="1:7" x14ac:dyDescent="0.25">
      <c r="A297" s="24" t="s">
        <v>2412</v>
      </c>
      <c r="B297" s="2" t="s">
        <v>3</v>
      </c>
      <c r="C297" s="2" t="s">
        <v>824</v>
      </c>
      <c r="D297" s="2" t="s">
        <v>862</v>
      </c>
      <c r="E297" s="2" t="s">
        <v>266</v>
      </c>
      <c r="F297" s="2" t="s">
        <v>825</v>
      </c>
      <c r="G297" s="2" t="s">
        <v>4579</v>
      </c>
    </row>
    <row r="298" spans="1:7" x14ac:dyDescent="0.25">
      <c r="A298" s="24" t="s">
        <v>2413</v>
      </c>
      <c r="B298" s="2" t="s">
        <v>3</v>
      </c>
      <c r="C298" s="2" t="s">
        <v>277</v>
      </c>
      <c r="D298" s="2" t="s">
        <v>276</v>
      </c>
      <c r="E298" s="2" t="s">
        <v>273</v>
      </c>
      <c r="F298" s="2" t="s">
        <v>278</v>
      </c>
      <c r="G298" s="2" t="s">
        <v>4580</v>
      </c>
    </row>
  </sheetData>
  <sortState ref="A2:G298">
    <sortCondition ref="B2:B298"/>
    <sortCondition ref="D2:D298"/>
  </sortState>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S178"/>
  <sheetViews>
    <sheetView workbookViewId="0"/>
  </sheetViews>
  <sheetFormatPr baseColWidth="10" defaultColWidth="10.85546875" defaultRowHeight="15.75" x14ac:dyDescent="0.25"/>
  <cols>
    <col min="1" max="1" width="15.140625" style="24" bestFit="1" customWidth="1"/>
    <col min="2" max="19" width="10.85546875" style="24"/>
    <col min="20" max="16384" width="10.85546875" style="2"/>
  </cols>
  <sheetData>
    <row r="1" spans="1:19" x14ac:dyDescent="0.25">
      <c r="A1" s="27" t="s">
        <v>5479</v>
      </c>
      <c r="B1" s="27">
        <v>1</v>
      </c>
      <c r="C1" s="27">
        <v>2</v>
      </c>
      <c r="D1" s="27">
        <v>3</v>
      </c>
      <c r="E1" s="27">
        <v>4</v>
      </c>
      <c r="F1" s="27">
        <v>5</v>
      </c>
      <c r="G1" s="27">
        <v>6</v>
      </c>
      <c r="H1" s="27">
        <v>7</v>
      </c>
      <c r="I1" s="27">
        <v>8</v>
      </c>
      <c r="J1" s="27">
        <v>9</v>
      </c>
      <c r="K1" s="27">
        <v>10</v>
      </c>
      <c r="L1" s="27">
        <v>11</v>
      </c>
      <c r="M1" s="27">
        <v>12</v>
      </c>
      <c r="N1" s="27">
        <v>13</v>
      </c>
      <c r="O1" s="27">
        <v>14</v>
      </c>
      <c r="P1" s="27">
        <v>15</v>
      </c>
      <c r="Q1" s="27">
        <v>16</v>
      </c>
      <c r="R1" s="27">
        <v>17</v>
      </c>
      <c r="S1" s="27">
        <v>18</v>
      </c>
    </row>
    <row r="2" spans="1:19" x14ac:dyDescent="0.25">
      <c r="A2" s="24" t="s">
        <v>898</v>
      </c>
      <c r="B2" s="24" t="s">
        <v>4594</v>
      </c>
      <c r="C2" s="24" t="s">
        <v>4595</v>
      </c>
      <c r="D2" s="24" t="s">
        <v>4596</v>
      </c>
      <c r="E2" s="24" t="s">
        <v>899</v>
      </c>
      <c r="F2" s="24" t="s">
        <v>900</v>
      </c>
      <c r="G2" s="24" t="s">
        <v>901</v>
      </c>
      <c r="H2" s="24" t="s">
        <v>4597</v>
      </c>
      <c r="I2" s="24" t="s">
        <v>4598</v>
      </c>
      <c r="J2" s="24" t="s">
        <v>4599</v>
      </c>
      <c r="K2" s="24" t="s">
        <v>4600</v>
      </c>
      <c r="L2" s="24" t="s">
        <v>4601</v>
      </c>
      <c r="M2" s="24" t="s">
        <v>4602</v>
      </c>
      <c r="N2" s="24" t="s">
        <v>4603</v>
      </c>
      <c r="O2" s="24" t="s">
        <v>621</v>
      </c>
      <c r="P2" s="24" t="s">
        <v>621</v>
      </c>
      <c r="Q2" s="24" t="s">
        <v>621</v>
      </c>
      <c r="R2" s="24" t="s">
        <v>621</v>
      </c>
      <c r="S2" s="24" t="s">
        <v>621</v>
      </c>
    </row>
    <row r="3" spans="1:19" x14ac:dyDescent="0.25">
      <c r="A3" s="24" t="s">
        <v>627</v>
      </c>
      <c r="B3" s="24" t="s">
        <v>4604</v>
      </c>
      <c r="C3" s="24" t="s">
        <v>902</v>
      </c>
      <c r="D3" s="24" t="s">
        <v>903</v>
      </c>
      <c r="E3" s="24" t="s">
        <v>904</v>
      </c>
      <c r="F3" s="24" t="s">
        <v>905</v>
      </c>
      <c r="G3" s="24" t="s">
        <v>4605</v>
      </c>
      <c r="H3" s="24" t="s">
        <v>4606</v>
      </c>
      <c r="I3" s="24" t="s">
        <v>4607</v>
      </c>
      <c r="J3" s="24" t="s">
        <v>4608</v>
      </c>
      <c r="K3" s="24" t="s">
        <v>4609</v>
      </c>
      <c r="L3" s="24" t="s">
        <v>4610</v>
      </c>
      <c r="M3" s="24" t="s">
        <v>4611</v>
      </c>
      <c r="N3" s="24" t="s">
        <v>621</v>
      </c>
      <c r="O3" s="24" t="s">
        <v>621</v>
      </c>
      <c r="P3" s="24" t="s">
        <v>621</v>
      </c>
      <c r="Q3" s="24" t="s">
        <v>621</v>
      </c>
      <c r="R3" s="24" t="s">
        <v>621</v>
      </c>
      <c r="S3" s="24" t="s">
        <v>621</v>
      </c>
    </row>
    <row r="4" spans="1:19" x14ac:dyDescent="0.25">
      <c r="A4" s="24" t="s">
        <v>906</v>
      </c>
      <c r="B4" s="24" t="s">
        <v>4612</v>
      </c>
      <c r="C4" s="24" t="s">
        <v>4613</v>
      </c>
      <c r="D4" s="24" t="s">
        <v>907</v>
      </c>
      <c r="E4" s="24" t="s">
        <v>908</v>
      </c>
      <c r="F4" s="24" t="s">
        <v>909</v>
      </c>
      <c r="G4" s="24" t="s">
        <v>910</v>
      </c>
      <c r="H4" s="24" t="s">
        <v>911</v>
      </c>
      <c r="I4" s="24" t="s">
        <v>4614</v>
      </c>
      <c r="J4" s="24" t="s">
        <v>4615</v>
      </c>
      <c r="K4" s="24" t="s">
        <v>4616</v>
      </c>
      <c r="L4" s="24" t="s">
        <v>4617</v>
      </c>
      <c r="M4" s="24" t="s">
        <v>4618</v>
      </c>
      <c r="N4" s="24" t="s">
        <v>621</v>
      </c>
      <c r="O4" s="24" t="s">
        <v>621</v>
      </c>
      <c r="P4" s="24" t="s">
        <v>621</v>
      </c>
      <c r="Q4" s="24" t="s">
        <v>621</v>
      </c>
      <c r="R4" s="24" t="s">
        <v>621</v>
      </c>
      <c r="S4" s="24" t="s">
        <v>621</v>
      </c>
    </row>
    <row r="5" spans="1:19" x14ac:dyDescent="0.25">
      <c r="A5" s="24" t="s">
        <v>628</v>
      </c>
      <c r="B5" s="24" t="s">
        <v>912</v>
      </c>
      <c r="C5" s="24" t="s">
        <v>4619</v>
      </c>
      <c r="D5" s="24" t="s">
        <v>4620</v>
      </c>
      <c r="E5" s="24" t="s">
        <v>913</v>
      </c>
      <c r="F5" s="24" t="s">
        <v>914</v>
      </c>
      <c r="G5" s="24" t="s">
        <v>915</v>
      </c>
      <c r="H5" s="24" t="s">
        <v>4621</v>
      </c>
      <c r="I5" s="24" t="s">
        <v>4622</v>
      </c>
      <c r="J5" s="24" t="s">
        <v>916</v>
      </c>
      <c r="K5" s="24" t="s">
        <v>4623</v>
      </c>
      <c r="L5" s="24" t="s">
        <v>747</v>
      </c>
      <c r="M5" s="24" t="s">
        <v>4624</v>
      </c>
      <c r="N5" s="24" t="s">
        <v>917</v>
      </c>
      <c r="O5" s="24" t="s">
        <v>4625</v>
      </c>
      <c r="P5" s="24" t="s">
        <v>621</v>
      </c>
      <c r="Q5" s="24" t="s">
        <v>621</v>
      </c>
      <c r="R5" s="24" t="s">
        <v>621</v>
      </c>
      <c r="S5" s="24" t="s">
        <v>621</v>
      </c>
    </row>
    <row r="6" spans="1:19" x14ac:dyDescent="0.25">
      <c r="A6" s="24" t="s">
        <v>629</v>
      </c>
      <c r="B6" s="24" t="s">
        <v>4626</v>
      </c>
      <c r="C6" s="24" t="s">
        <v>918</v>
      </c>
      <c r="D6" s="24" t="s">
        <v>919</v>
      </c>
      <c r="E6" s="24" t="s">
        <v>920</v>
      </c>
      <c r="F6" s="24" t="s">
        <v>921</v>
      </c>
      <c r="G6" s="24" t="s">
        <v>4627</v>
      </c>
      <c r="H6" s="24" t="s">
        <v>922</v>
      </c>
      <c r="I6" s="24" t="s">
        <v>4628</v>
      </c>
      <c r="J6" s="24" t="s">
        <v>4629</v>
      </c>
      <c r="K6" s="24" t="s">
        <v>4630</v>
      </c>
      <c r="L6" s="24" t="s">
        <v>4631</v>
      </c>
      <c r="M6" s="24" t="s">
        <v>4632</v>
      </c>
      <c r="N6" s="24" t="s">
        <v>4633</v>
      </c>
      <c r="O6" s="24" t="s">
        <v>923</v>
      </c>
      <c r="P6" s="24" t="s">
        <v>621</v>
      </c>
      <c r="Q6" s="24" t="s">
        <v>621</v>
      </c>
      <c r="R6" s="24" t="s">
        <v>621</v>
      </c>
      <c r="S6" s="24" t="s">
        <v>621</v>
      </c>
    </row>
    <row r="7" spans="1:19" x14ac:dyDescent="0.25">
      <c r="A7" s="24" t="s">
        <v>924</v>
      </c>
      <c r="B7" s="24" t="s">
        <v>925</v>
      </c>
      <c r="C7" s="24" t="s">
        <v>926</v>
      </c>
      <c r="D7" s="24" t="s">
        <v>927</v>
      </c>
      <c r="E7" s="24" t="s">
        <v>928</v>
      </c>
      <c r="F7" s="24" t="s">
        <v>929</v>
      </c>
      <c r="G7" s="24" t="s">
        <v>621</v>
      </c>
      <c r="H7" s="24" t="s">
        <v>621</v>
      </c>
      <c r="I7" s="24" t="s">
        <v>621</v>
      </c>
      <c r="J7" s="24" t="s">
        <v>621</v>
      </c>
      <c r="K7" s="24" t="s">
        <v>621</v>
      </c>
      <c r="L7" s="24" t="s">
        <v>621</v>
      </c>
      <c r="M7" s="24" t="s">
        <v>621</v>
      </c>
      <c r="N7" s="24" t="s">
        <v>621</v>
      </c>
      <c r="O7" s="24" t="s">
        <v>621</v>
      </c>
      <c r="P7" s="24" t="s">
        <v>621</v>
      </c>
      <c r="Q7" s="24" t="s">
        <v>621</v>
      </c>
      <c r="R7" s="24" t="s">
        <v>621</v>
      </c>
      <c r="S7" s="24" t="s">
        <v>621</v>
      </c>
    </row>
    <row r="8" spans="1:19" x14ac:dyDescent="0.25">
      <c r="A8" s="24" t="s">
        <v>630</v>
      </c>
      <c r="B8" s="24" t="s">
        <v>4634</v>
      </c>
      <c r="C8" s="24" t="s">
        <v>4635</v>
      </c>
      <c r="D8" s="24" t="s">
        <v>4636</v>
      </c>
      <c r="E8" s="24" t="s">
        <v>4637</v>
      </c>
      <c r="F8" s="24" t="s">
        <v>930</v>
      </c>
      <c r="G8" s="24" t="s">
        <v>931</v>
      </c>
      <c r="H8" s="24" t="s">
        <v>932</v>
      </c>
      <c r="I8" s="24" t="s">
        <v>933</v>
      </c>
      <c r="J8" s="24" t="s">
        <v>4638</v>
      </c>
      <c r="K8" s="24" t="s">
        <v>934</v>
      </c>
      <c r="L8" s="24" t="s">
        <v>935</v>
      </c>
      <c r="M8" s="24" t="s">
        <v>936</v>
      </c>
      <c r="N8" s="24" t="s">
        <v>937</v>
      </c>
      <c r="O8" s="24" t="s">
        <v>621</v>
      </c>
      <c r="P8" s="24" t="s">
        <v>621</v>
      </c>
      <c r="Q8" s="24" t="s">
        <v>621</v>
      </c>
      <c r="R8" s="24" t="s">
        <v>621</v>
      </c>
      <c r="S8" s="24" t="s">
        <v>621</v>
      </c>
    </row>
    <row r="9" spans="1:19" x14ac:dyDescent="0.25">
      <c r="A9" s="24" t="s">
        <v>631</v>
      </c>
      <c r="B9" s="24" t="s">
        <v>4639</v>
      </c>
      <c r="C9" s="24" t="s">
        <v>4640</v>
      </c>
      <c r="D9" s="24" t="s">
        <v>4641</v>
      </c>
      <c r="E9" s="24" t="s">
        <v>938</v>
      </c>
      <c r="F9" s="24" t="s">
        <v>939</v>
      </c>
      <c r="G9" s="24" t="s">
        <v>940</v>
      </c>
      <c r="H9" s="24" t="s">
        <v>4642</v>
      </c>
      <c r="I9" s="24" t="s">
        <v>4643</v>
      </c>
      <c r="J9" s="24" t="s">
        <v>4644</v>
      </c>
      <c r="K9" s="24" t="s">
        <v>4645</v>
      </c>
      <c r="L9" s="24" t="s">
        <v>4646</v>
      </c>
      <c r="M9" s="24" t="s">
        <v>4647</v>
      </c>
      <c r="N9" s="24" t="s">
        <v>4648</v>
      </c>
      <c r="O9" s="24" t="s">
        <v>621</v>
      </c>
      <c r="P9" s="24" t="s">
        <v>621</v>
      </c>
      <c r="Q9" s="24" t="s">
        <v>621</v>
      </c>
      <c r="R9" s="24" t="s">
        <v>621</v>
      </c>
      <c r="S9" s="24" t="s">
        <v>621</v>
      </c>
    </row>
    <row r="10" spans="1:19" x14ac:dyDescent="0.25">
      <c r="A10" s="24" t="s">
        <v>941</v>
      </c>
      <c r="B10" s="24" t="s">
        <v>4649</v>
      </c>
      <c r="C10" s="24" t="s">
        <v>4596</v>
      </c>
      <c r="D10" s="24" t="s">
        <v>942</v>
      </c>
      <c r="E10" s="24" t="s">
        <v>943</v>
      </c>
      <c r="F10" s="24" t="s">
        <v>944</v>
      </c>
      <c r="G10" s="24" t="s">
        <v>945</v>
      </c>
      <c r="H10" s="24" t="s">
        <v>4597</v>
      </c>
      <c r="I10" s="24" t="s">
        <v>4650</v>
      </c>
      <c r="J10" s="24" t="s">
        <v>4651</v>
      </c>
      <c r="K10" s="24" t="s">
        <v>4652</v>
      </c>
      <c r="L10" s="24" t="s">
        <v>4600</v>
      </c>
      <c r="M10" s="24" t="s">
        <v>4653</v>
      </c>
      <c r="N10" s="24" t="s">
        <v>4654</v>
      </c>
      <c r="O10" s="24" t="s">
        <v>4655</v>
      </c>
      <c r="P10" s="24" t="s">
        <v>621</v>
      </c>
      <c r="Q10" s="24" t="s">
        <v>621</v>
      </c>
      <c r="R10" s="24" t="s">
        <v>621</v>
      </c>
      <c r="S10" s="24" t="s">
        <v>621</v>
      </c>
    </row>
    <row r="11" spans="1:19" x14ac:dyDescent="0.25">
      <c r="A11" s="24" t="s">
        <v>632</v>
      </c>
      <c r="B11" s="24" t="s">
        <v>4656</v>
      </c>
      <c r="C11" s="24" t="s">
        <v>618</v>
      </c>
      <c r="D11" s="24" t="s">
        <v>946</v>
      </c>
      <c r="E11" s="24" t="s">
        <v>947</v>
      </c>
      <c r="F11" s="24" t="s">
        <v>948</v>
      </c>
      <c r="G11" s="24" t="s">
        <v>949</v>
      </c>
      <c r="H11" s="24" t="s">
        <v>950</v>
      </c>
      <c r="I11" s="24" t="s">
        <v>951</v>
      </c>
      <c r="J11" s="24" t="s">
        <v>952</v>
      </c>
      <c r="K11" s="24" t="s">
        <v>4657</v>
      </c>
      <c r="L11" s="24" t="s">
        <v>953</v>
      </c>
      <c r="M11" s="24" t="s">
        <v>4658</v>
      </c>
      <c r="N11" s="24" t="s">
        <v>954</v>
      </c>
      <c r="O11" s="24" t="s">
        <v>4659</v>
      </c>
      <c r="P11" s="24" t="s">
        <v>621</v>
      </c>
      <c r="Q11" s="24" t="s">
        <v>621</v>
      </c>
      <c r="R11" s="24" t="s">
        <v>621</v>
      </c>
      <c r="S11" s="24" t="s">
        <v>621</v>
      </c>
    </row>
    <row r="12" spans="1:19" x14ac:dyDescent="0.25">
      <c r="A12" s="24" t="s">
        <v>633</v>
      </c>
      <c r="B12" s="24" t="s">
        <v>4660</v>
      </c>
      <c r="C12" s="24" t="s">
        <v>955</v>
      </c>
      <c r="D12" s="24" t="s">
        <v>956</v>
      </c>
      <c r="E12" s="24" t="s">
        <v>957</v>
      </c>
      <c r="F12" s="24" t="s">
        <v>958</v>
      </c>
      <c r="G12" s="24" t="s">
        <v>959</v>
      </c>
      <c r="H12" s="24" t="s">
        <v>960</v>
      </c>
      <c r="I12" s="24" t="s">
        <v>4661</v>
      </c>
      <c r="J12" s="24" t="s">
        <v>4662</v>
      </c>
      <c r="K12" s="24" t="s">
        <v>961</v>
      </c>
      <c r="L12" s="24" t="s">
        <v>4663</v>
      </c>
      <c r="M12" s="24" t="s">
        <v>962</v>
      </c>
      <c r="N12" s="24" t="s">
        <v>4664</v>
      </c>
      <c r="O12" s="24" t="s">
        <v>4665</v>
      </c>
      <c r="P12" s="24" t="s">
        <v>621</v>
      </c>
      <c r="Q12" s="24" t="s">
        <v>621</v>
      </c>
      <c r="R12" s="24" t="s">
        <v>621</v>
      </c>
      <c r="S12" s="24" t="s">
        <v>621</v>
      </c>
    </row>
    <row r="13" spans="1:19" x14ac:dyDescent="0.25">
      <c r="A13" s="24" t="s">
        <v>634</v>
      </c>
      <c r="B13" s="24" t="s">
        <v>4604</v>
      </c>
      <c r="C13" s="24" t="s">
        <v>4666</v>
      </c>
      <c r="D13" s="24" t="s">
        <v>963</v>
      </c>
      <c r="E13" s="24" t="s">
        <v>4667</v>
      </c>
      <c r="F13" s="24" t="s">
        <v>964</v>
      </c>
      <c r="G13" s="24" t="s">
        <v>965</v>
      </c>
      <c r="H13" s="24" t="s">
        <v>905</v>
      </c>
      <c r="I13" s="24" t="s">
        <v>4668</v>
      </c>
      <c r="J13" s="24" t="s">
        <v>4669</v>
      </c>
      <c r="K13" s="24" t="s">
        <v>966</v>
      </c>
      <c r="L13" s="24" t="s">
        <v>4611</v>
      </c>
      <c r="M13" s="24" t="s">
        <v>4670</v>
      </c>
      <c r="N13" s="24" t="s">
        <v>4671</v>
      </c>
      <c r="O13" s="24" t="s">
        <v>621</v>
      </c>
      <c r="P13" s="24" t="s">
        <v>621</v>
      </c>
      <c r="Q13" s="24" t="s">
        <v>621</v>
      </c>
      <c r="R13" s="24" t="s">
        <v>621</v>
      </c>
      <c r="S13" s="24" t="s">
        <v>621</v>
      </c>
    </row>
    <row r="14" spans="1:19" x14ac:dyDescent="0.25">
      <c r="A14" s="24" t="s">
        <v>635</v>
      </c>
      <c r="B14" s="24" t="s">
        <v>967</v>
      </c>
      <c r="C14" s="24" t="s">
        <v>4672</v>
      </c>
      <c r="D14" s="24" t="s">
        <v>968</v>
      </c>
      <c r="E14" s="24" t="s">
        <v>969</v>
      </c>
      <c r="F14" s="24" t="s">
        <v>970</v>
      </c>
      <c r="G14" s="24" t="s">
        <v>971</v>
      </c>
      <c r="H14" s="24" t="s">
        <v>4673</v>
      </c>
      <c r="I14" s="24" t="s">
        <v>4674</v>
      </c>
      <c r="J14" s="24" t="s">
        <v>4675</v>
      </c>
      <c r="K14" s="24" t="s">
        <v>972</v>
      </c>
      <c r="L14" s="24" t="s">
        <v>973</v>
      </c>
      <c r="M14" s="24" t="s">
        <v>974</v>
      </c>
      <c r="N14" s="24" t="s">
        <v>621</v>
      </c>
      <c r="O14" s="24" t="s">
        <v>621</v>
      </c>
      <c r="P14" s="24" t="s">
        <v>621</v>
      </c>
      <c r="Q14" s="24" t="s">
        <v>621</v>
      </c>
      <c r="R14" s="24" t="s">
        <v>621</v>
      </c>
      <c r="S14" s="24" t="s">
        <v>621</v>
      </c>
    </row>
    <row r="15" spans="1:19" x14ac:dyDescent="0.25">
      <c r="A15" s="24" t="s">
        <v>975</v>
      </c>
      <c r="B15" s="24" t="s">
        <v>976</v>
      </c>
      <c r="C15" s="24" t="s">
        <v>977</v>
      </c>
      <c r="D15" s="24" t="s">
        <v>978</v>
      </c>
      <c r="E15" s="24" t="s">
        <v>979</v>
      </c>
      <c r="F15" s="24" t="s">
        <v>621</v>
      </c>
      <c r="G15" s="24" t="s">
        <v>621</v>
      </c>
      <c r="H15" s="24" t="s">
        <v>621</v>
      </c>
      <c r="I15" s="24" t="s">
        <v>621</v>
      </c>
      <c r="J15" s="24" t="s">
        <v>621</v>
      </c>
      <c r="K15" s="24" t="s">
        <v>621</v>
      </c>
      <c r="L15" s="24" t="s">
        <v>621</v>
      </c>
      <c r="M15" s="24" t="s">
        <v>621</v>
      </c>
      <c r="N15" s="24" t="s">
        <v>621</v>
      </c>
      <c r="O15" s="24" t="s">
        <v>621</v>
      </c>
      <c r="P15" s="24" t="s">
        <v>621</v>
      </c>
      <c r="Q15" s="24" t="s">
        <v>621</v>
      </c>
      <c r="R15" s="24" t="s">
        <v>621</v>
      </c>
      <c r="S15" s="24" t="s">
        <v>621</v>
      </c>
    </row>
    <row r="16" spans="1:19" x14ac:dyDescent="0.25">
      <c r="A16" s="24" t="s">
        <v>980</v>
      </c>
      <c r="B16" s="24" t="s">
        <v>981</v>
      </c>
      <c r="C16" s="24" t="s">
        <v>982</v>
      </c>
      <c r="D16" s="24" t="s">
        <v>983</v>
      </c>
      <c r="E16" s="24" t="s">
        <v>984</v>
      </c>
      <c r="F16" s="24" t="s">
        <v>985</v>
      </c>
      <c r="G16" s="24" t="s">
        <v>986</v>
      </c>
      <c r="H16" s="24" t="s">
        <v>987</v>
      </c>
      <c r="I16" s="24" t="s">
        <v>988</v>
      </c>
      <c r="J16" s="24" t="s">
        <v>621</v>
      </c>
      <c r="K16" s="24" t="s">
        <v>621</v>
      </c>
      <c r="L16" s="24" t="s">
        <v>621</v>
      </c>
      <c r="M16" s="24" t="s">
        <v>621</v>
      </c>
      <c r="N16" s="24" t="s">
        <v>621</v>
      </c>
      <c r="O16" s="24" t="s">
        <v>621</v>
      </c>
      <c r="P16" s="24" t="s">
        <v>621</v>
      </c>
      <c r="Q16" s="24" t="s">
        <v>621</v>
      </c>
      <c r="R16" s="24" t="s">
        <v>621</v>
      </c>
      <c r="S16" s="24" t="s">
        <v>621</v>
      </c>
    </row>
    <row r="17" spans="1:19" x14ac:dyDescent="0.25">
      <c r="A17" s="24" t="s">
        <v>636</v>
      </c>
      <c r="B17" s="24" t="s">
        <v>4676</v>
      </c>
      <c r="C17" s="24" t="s">
        <v>989</v>
      </c>
      <c r="D17" s="24" t="s">
        <v>990</v>
      </c>
      <c r="E17" s="24" t="s">
        <v>991</v>
      </c>
      <c r="F17" s="24" t="s">
        <v>4677</v>
      </c>
      <c r="G17" s="24" t="s">
        <v>992</v>
      </c>
      <c r="H17" s="24" t="s">
        <v>993</v>
      </c>
      <c r="I17" s="24" t="s">
        <v>994</v>
      </c>
      <c r="J17" s="24" t="s">
        <v>995</v>
      </c>
      <c r="K17" s="24" t="s">
        <v>4678</v>
      </c>
      <c r="L17" s="24" t="s">
        <v>996</v>
      </c>
      <c r="M17" s="24" t="s">
        <v>997</v>
      </c>
      <c r="N17" s="24" t="s">
        <v>4679</v>
      </c>
      <c r="O17" s="24" t="s">
        <v>621</v>
      </c>
      <c r="P17" s="24" t="s">
        <v>621</v>
      </c>
      <c r="Q17" s="24" t="s">
        <v>621</v>
      </c>
      <c r="R17" s="24" t="s">
        <v>621</v>
      </c>
      <c r="S17" s="24" t="s">
        <v>621</v>
      </c>
    </row>
    <row r="18" spans="1:19" x14ac:dyDescent="0.25">
      <c r="A18" s="24" t="s">
        <v>637</v>
      </c>
      <c r="B18" s="24" t="s">
        <v>781</v>
      </c>
      <c r="C18" s="24" t="s">
        <v>4680</v>
      </c>
      <c r="D18" s="24" t="s">
        <v>4681</v>
      </c>
      <c r="E18" s="24" t="s">
        <v>4682</v>
      </c>
      <c r="F18" s="24" t="s">
        <v>998</v>
      </c>
      <c r="G18" s="24" t="s">
        <v>999</v>
      </c>
      <c r="H18" s="24" t="s">
        <v>4683</v>
      </c>
      <c r="I18" s="24" t="s">
        <v>921</v>
      </c>
      <c r="J18" s="24" t="s">
        <v>4684</v>
      </c>
      <c r="K18" s="24" t="s">
        <v>4685</v>
      </c>
      <c r="L18" s="24" t="s">
        <v>1000</v>
      </c>
      <c r="M18" s="24" t="s">
        <v>780</v>
      </c>
      <c r="N18" s="24" t="s">
        <v>1001</v>
      </c>
      <c r="O18" s="24" t="s">
        <v>4686</v>
      </c>
      <c r="P18" s="24" t="s">
        <v>621</v>
      </c>
      <c r="Q18" s="24" t="s">
        <v>621</v>
      </c>
      <c r="R18" s="24" t="s">
        <v>621</v>
      </c>
      <c r="S18" s="24" t="s">
        <v>621</v>
      </c>
    </row>
    <row r="19" spans="1:19" x14ac:dyDescent="0.25">
      <c r="A19" s="24" t="s">
        <v>638</v>
      </c>
      <c r="B19" s="24" t="s">
        <v>4687</v>
      </c>
      <c r="C19" s="24" t="s">
        <v>4688</v>
      </c>
      <c r="D19" s="24" t="s">
        <v>1002</v>
      </c>
      <c r="E19" s="24" t="s">
        <v>4682</v>
      </c>
      <c r="F19" s="24" t="s">
        <v>1003</v>
      </c>
      <c r="G19" s="24" t="s">
        <v>1004</v>
      </c>
      <c r="H19" s="24" t="s">
        <v>921</v>
      </c>
      <c r="I19" s="24" t="s">
        <v>4684</v>
      </c>
      <c r="J19" s="24" t="s">
        <v>4689</v>
      </c>
      <c r="K19" s="24" t="s">
        <v>4685</v>
      </c>
      <c r="L19" s="24" t="s">
        <v>1005</v>
      </c>
      <c r="M19" s="24" t="s">
        <v>4690</v>
      </c>
      <c r="N19" s="24" t="s">
        <v>1001</v>
      </c>
      <c r="O19" s="24" t="s">
        <v>4691</v>
      </c>
      <c r="P19" s="24" t="s">
        <v>621</v>
      </c>
      <c r="Q19" s="24" t="s">
        <v>621</v>
      </c>
      <c r="R19" s="24" t="s">
        <v>621</v>
      </c>
      <c r="S19" s="24" t="s">
        <v>621</v>
      </c>
    </row>
    <row r="20" spans="1:19" x14ac:dyDescent="0.25">
      <c r="A20" s="24" t="s">
        <v>639</v>
      </c>
      <c r="B20" s="24" t="s">
        <v>4692</v>
      </c>
      <c r="C20" s="24" t="s">
        <v>4693</v>
      </c>
      <c r="D20" s="24" t="s">
        <v>4694</v>
      </c>
      <c r="E20" s="24" t="s">
        <v>4695</v>
      </c>
      <c r="F20" s="24" t="s">
        <v>4696</v>
      </c>
      <c r="G20" s="24" t="s">
        <v>1006</v>
      </c>
      <c r="H20" s="24" t="s">
        <v>4697</v>
      </c>
      <c r="I20" s="24" t="s">
        <v>1007</v>
      </c>
      <c r="J20" s="24" t="s">
        <v>1008</v>
      </c>
      <c r="K20" s="24" t="s">
        <v>4698</v>
      </c>
      <c r="L20" s="24" t="s">
        <v>1009</v>
      </c>
      <c r="M20" s="24" t="s">
        <v>1010</v>
      </c>
      <c r="N20" s="24" t="s">
        <v>1011</v>
      </c>
      <c r="O20" s="24" t="s">
        <v>621</v>
      </c>
      <c r="P20" s="24" t="s">
        <v>621</v>
      </c>
      <c r="Q20" s="24" t="s">
        <v>621</v>
      </c>
      <c r="R20" s="24" t="s">
        <v>621</v>
      </c>
      <c r="S20" s="24" t="s">
        <v>621</v>
      </c>
    </row>
    <row r="21" spans="1:19" x14ac:dyDescent="0.25">
      <c r="A21" s="24" t="s">
        <v>640</v>
      </c>
      <c r="B21" s="24" t="s">
        <v>4699</v>
      </c>
      <c r="C21" s="24" t="s">
        <v>4700</v>
      </c>
      <c r="D21" s="24" t="s">
        <v>4701</v>
      </c>
      <c r="E21" s="24" t="s">
        <v>1012</v>
      </c>
      <c r="F21" s="24" t="s">
        <v>1013</v>
      </c>
      <c r="G21" s="24" t="s">
        <v>4702</v>
      </c>
      <c r="H21" s="24" t="s">
        <v>4703</v>
      </c>
      <c r="I21" s="24" t="s">
        <v>4704</v>
      </c>
      <c r="J21" s="24" t="s">
        <v>1014</v>
      </c>
      <c r="K21" s="24" t="s">
        <v>1015</v>
      </c>
      <c r="L21" s="24" t="s">
        <v>4705</v>
      </c>
      <c r="M21" s="24" t="s">
        <v>1016</v>
      </c>
      <c r="N21" s="24" t="s">
        <v>621</v>
      </c>
      <c r="O21" s="24" t="s">
        <v>621</v>
      </c>
      <c r="P21" s="24" t="s">
        <v>621</v>
      </c>
      <c r="Q21" s="24" t="s">
        <v>621</v>
      </c>
      <c r="R21" s="24" t="s">
        <v>621</v>
      </c>
      <c r="S21" s="24" t="s">
        <v>621</v>
      </c>
    </row>
    <row r="22" spans="1:19" x14ac:dyDescent="0.25">
      <c r="A22" s="24" t="s">
        <v>1017</v>
      </c>
      <c r="B22" s="24" t="s">
        <v>1018</v>
      </c>
      <c r="C22" s="24" t="s">
        <v>1019</v>
      </c>
      <c r="D22" s="24" t="s">
        <v>1020</v>
      </c>
      <c r="E22" s="24" t="s">
        <v>4706</v>
      </c>
      <c r="F22" s="24" t="s">
        <v>4707</v>
      </c>
      <c r="G22" s="24" t="s">
        <v>4708</v>
      </c>
      <c r="H22" s="24" t="s">
        <v>4709</v>
      </c>
      <c r="I22" s="24" t="s">
        <v>4710</v>
      </c>
      <c r="J22" s="24" t="s">
        <v>793</v>
      </c>
      <c r="K22" s="24" t="s">
        <v>4711</v>
      </c>
      <c r="L22" s="24" t="s">
        <v>621</v>
      </c>
      <c r="M22" s="24" t="s">
        <v>621</v>
      </c>
      <c r="N22" s="24" t="s">
        <v>621</v>
      </c>
      <c r="O22" s="24" t="s">
        <v>621</v>
      </c>
      <c r="P22" s="24" t="s">
        <v>621</v>
      </c>
      <c r="Q22" s="24" t="s">
        <v>621</v>
      </c>
      <c r="R22" s="24" t="s">
        <v>621</v>
      </c>
      <c r="S22" s="24" t="s">
        <v>621</v>
      </c>
    </row>
    <row r="23" spans="1:19" x14ac:dyDescent="0.25">
      <c r="A23" s="24" t="s">
        <v>641</v>
      </c>
      <c r="B23" s="24" t="s">
        <v>1021</v>
      </c>
      <c r="C23" s="24" t="s">
        <v>1022</v>
      </c>
      <c r="D23" s="24" t="s">
        <v>1023</v>
      </c>
      <c r="E23" s="24" t="s">
        <v>1024</v>
      </c>
      <c r="F23" s="24" t="s">
        <v>1025</v>
      </c>
      <c r="G23" s="24" t="s">
        <v>1026</v>
      </c>
      <c r="H23" s="24" t="s">
        <v>1027</v>
      </c>
      <c r="I23" s="24" t="s">
        <v>1028</v>
      </c>
      <c r="J23" s="24" t="s">
        <v>1029</v>
      </c>
      <c r="K23" s="24" t="s">
        <v>4712</v>
      </c>
      <c r="L23" s="24" t="s">
        <v>1030</v>
      </c>
      <c r="M23" s="24" t="s">
        <v>1031</v>
      </c>
      <c r="N23" s="24" t="s">
        <v>621</v>
      </c>
      <c r="O23" s="24" t="s">
        <v>621</v>
      </c>
      <c r="P23" s="24" t="s">
        <v>621</v>
      </c>
      <c r="Q23" s="24" t="s">
        <v>621</v>
      </c>
      <c r="R23" s="24" t="s">
        <v>621</v>
      </c>
      <c r="S23" s="24" t="s">
        <v>621</v>
      </c>
    </row>
    <row r="24" spans="1:19" x14ac:dyDescent="0.25">
      <c r="A24" s="24" t="s">
        <v>642</v>
      </c>
      <c r="B24" s="24" t="s">
        <v>1032</v>
      </c>
      <c r="C24" s="24" t="s">
        <v>4713</v>
      </c>
      <c r="D24" s="24" t="s">
        <v>4714</v>
      </c>
      <c r="E24" s="24" t="s">
        <v>1033</v>
      </c>
      <c r="F24" s="24" t="s">
        <v>1034</v>
      </c>
      <c r="G24" s="24" t="s">
        <v>4715</v>
      </c>
      <c r="H24" s="24" t="s">
        <v>4716</v>
      </c>
      <c r="I24" s="24" t="s">
        <v>4717</v>
      </c>
      <c r="J24" s="24" t="s">
        <v>4718</v>
      </c>
      <c r="K24" s="24" t="s">
        <v>4719</v>
      </c>
      <c r="L24" s="24" t="s">
        <v>621</v>
      </c>
      <c r="M24" s="24" t="s">
        <v>621</v>
      </c>
      <c r="N24" s="24" t="s">
        <v>621</v>
      </c>
      <c r="O24" s="24" t="s">
        <v>621</v>
      </c>
      <c r="P24" s="24" t="s">
        <v>621</v>
      </c>
      <c r="Q24" s="24" t="s">
        <v>621</v>
      </c>
      <c r="R24" s="24" t="s">
        <v>621</v>
      </c>
      <c r="S24" s="24" t="s">
        <v>621</v>
      </c>
    </row>
    <row r="25" spans="1:19" x14ac:dyDescent="0.25">
      <c r="A25" s="24" t="s">
        <v>643</v>
      </c>
      <c r="B25" s="24" t="s">
        <v>4720</v>
      </c>
      <c r="C25" s="24" t="s">
        <v>4721</v>
      </c>
      <c r="D25" s="24" t="s">
        <v>1035</v>
      </c>
      <c r="E25" s="24" t="s">
        <v>1036</v>
      </c>
      <c r="F25" s="24" t="s">
        <v>1037</v>
      </c>
      <c r="G25" s="24" t="s">
        <v>4722</v>
      </c>
      <c r="H25" s="24" t="s">
        <v>4723</v>
      </c>
      <c r="I25" s="24" t="s">
        <v>4707</v>
      </c>
      <c r="J25" s="24" t="s">
        <v>4724</v>
      </c>
      <c r="K25" s="24" t="s">
        <v>4709</v>
      </c>
      <c r="L25" s="24" t="s">
        <v>4725</v>
      </c>
      <c r="M25" s="24" t="s">
        <v>4726</v>
      </c>
      <c r="N25" s="24" t="s">
        <v>621</v>
      </c>
      <c r="O25" s="24" t="s">
        <v>621</v>
      </c>
      <c r="P25" s="24" t="s">
        <v>621</v>
      </c>
      <c r="Q25" s="24" t="s">
        <v>621</v>
      </c>
      <c r="R25" s="24" t="s">
        <v>621</v>
      </c>
      <c r="S25" s="24" t="s">
        <v>621</v>
      </c>
    </row>
    <row r="26" spans="1:19" x14ac:dyDescent="0.25">
      <c r="A26" s="24" t="s">
        <v>1038</v>
      </c>
      <c r="B26" s="24" t="s">
        <v>1039</v>
      </c>
      <c r="C26" s="24" t="s">
        <v>1040</v>
      </c>
      <c r="D26" s="24" t="s">
        <v>1041</v>
      </c>
      <c r="E26" s="24" t="s">
        <v>1042</v>
      </c>
      <c r="F26" s="24" t="s">
        <v>1043</v>
      </c>
      <c r="G26" s="24" t="s">
        <v>621</v>
      </c>
      <c r="H26" s="24" t="s">
        <v>621</v>
      </c>
      <c r="I26" s="24" t="s">
        <v>621</v>
      </c>
      <c r="J26" s="24" t="s">
        <v>621</v>
      </c>
      <c r="K26" s="24" t="s">
        <v>621</v>
      </c>
      <c r="L26" s="24" t="s">
        <v>621</v>
      </c>
      <c r="M26" s="24" t="s">
        <v>621</v>
      </c>
      <c r="N26" s="24" t="s">
        <v>621</v>
      </c>
      <c r="O26" s="24" t="s">
        <v>621</v>
      </c>
      <c r="P26" s="24" t="s">
        <v>621</v>
      </c>
      <c r="Q26" s="24" t="s">
        <v>621</v>
      </c>
      <c r="R26" s="24" t="s">
        <v>621</v>
      </c>
      <c r="S26" s="24" t="s">
        <v>621</v>
      </c>
    </row>
    <row r="27" spans="1:19" x14ac:dyDescent="0.25">
      <c r="A27" s="24" t="s">
        <v>1044</v>
      </c>
      <c r="B27" s="24" t="s">
        <v>1039</v>
      </c>
      <c r="C27" s="24" t="s">
        <v>1045</v>
      </c>
      <c r="D27" s="24" t="s">
        <v>1046</v>
      </c>
      <c r="E27" s="24" t="s">
        <v>621</v>
      </c>
      <c r="F27" s="24" t="s">
        <v>621</v>
      </c>
      <c r="G27" s="24" t="s">
        <v>621</v>
      </c>
      <c r="H27" s="24" t="s">
        <v>621</v>
      </c>
      <c r="I27" s="24" t="s">
        <v>621</v>
      </c>
      <c r="J27" s="24" t="s">
        <v>621</v>
      </c>
      <c r="K27" s="24" t="s">
        <v>621</v>
      </c>
      <c r="L27" s="24" t="s">
        <v>621</v>
      </c>
      <c r="M27" s="24" t="s">
        <v>621</v>
      </c>
      <c r="N27" s="24" t="s">
        <v>621</v>
      </c>
      <c r="O27" s="24" t="s">
        <v>621</v>
      </c>
      <c r="P27" s="24" t="s">
        <v>621</v>
      </c>
      <c r="Q27" s="24" t="s">
        <v>621</v>
      </c>
      <c r="R27" s="24" t="s">
        <v>621</v>
      </c>
      <c r="S27" s="24" t="s">
        <v>621</v>
      </c>
    </row>
    <row r="28" spans="1:19" x14ac:dyDescent="0.25">
      <c r="A28" s="24" t="s">
        <v>1047</v>
      </c>
      <c r="B28" s="24" t="s">
        <v>1048</v>
      </c>
      <c r="C28" s="24" t="s">
        <v>1049</v>
      </c>
      <c r="D28" s="24" t="s">
        <v>1050</v>
      </c>
      <c r="E28" s="24" t="s">
        <v>1051</v>
      </c>
      <c r="F28" s="24" t="s">
        <v>1052</v>
      </c>
      <c r="G28" s="24" t="s">
        <v>1053</v>
      </c>
      <c r="H28" s="24" t="s">
        <v>1054</v>
      </c>
      <c r="I28" s="24" t="s">
        <v>1055</v>
      </c>
      <c r="J28" s="24" t="s">
        <v>1056</v>
      </c>
      <c r="K28" s="24" t="s">
        <v>1057</v>
      </c>
      <c r="L28" s="24" t="s">
        <v>1058</v>
      </c>
      <c r="M28" s="24" t="s">
        <v>1059</v>
      </c>
      <c r="N28" s="24" t="s">
        <v>1060</v>
      </c>
      <c r="O28" s="24" t="s">
        <v>1061</v>
      </c>
      <c r="P28" s="24" t="s">
        <v>1062</v>
      </c>
      <c r="Q28" s="24" t="s">
        <v>1063</v>
      </c>
      <c r="R28" s="24" t="s">
        <v>1064</v>
      </c>
      <c r="S28" s="24" t="s">
        <v>1065</v>
      </c>
    </row>
    <row r="29" spans="1:19" x14ac:dyDescent="0.25">
      <c r="A29" s="24" t="s">
        <v>1066</v>
      </c>
      <c r="B29" s="24" t="s">
        <v>1048</v>
      </c>
      <c r="C29" s="24" t="s">
        <v>1067</v>
      </c>
      <c r="D29" s="24" t="s">
        <v>1068</v>
      </c>
      <c r="E29" s="24" t="s">
        <v>1069</v>
      </c>
      <c r="F29" s="24" t="s">
        <v>1070</v>
      </c>
      <c r="G29" s="24" t="s">
        <v>1071</v>
      </c>
      <c r="H29" s="24" t="s">
        <v>1054</v>
      </c>
      <c r="I29" s="24" t="s">
        <v>1072</v>
      </c>
      <c r="J29" s="24" t="s">
        <v>1056</v>
      </c>
      <c r="K29" s="24" t="s">
        <v>1057</v>
      </c>
      <c r="L29" s="24" t="s">
        <v>1059</v>
      </c>
      <c r="M29" s="24" t="s">
        <v>1060</v>
      </c>
      <c r="N29" s="24" t="s">
        <v>1073</v>
      </c>
      <c r="O29" s="24" t="s">
        <v>1062</v>
      </c>
      <c r="P29" s="24" t="s">
        <v>1063</v>
      </c>
      <c r="Q29" s="24" t="s">
        <v>1074</v>
      </c>
      <c r="R29" s="24" t="s">
        <v>1065</v>
      </c>
      <c r="S29" s="24" t="s">
        <v>621</v>
      </c>
    </row>
    <row r="30" spans="1:19" x14ac:dyDescent="0.25">
      <c r="A30" s="24" t="s">
        <v>1075</v>
      </c>
      <c r="B30" s="24" t="s">
        <v>1048</v>
      </c>
      <c r="C30" s="24" t="s">
        <v>1067</v>
      </c>
      <c r="D30" s="24" t="s">
        <v>1068</v>
      </c>
      <c r="E30" s="24" t="s">
        <v>1069</v>
      </c>
      <c r="F30" s="24" t="s">
        <v>1070</v>
      </c>
      <c r="G30" s="24" t="s">
        <v>1076</v>
      </c>
      <c r="H30" s="24" t="s">
        <v>1054</v>
      </c>
      <c r="I30" s="24" t="s">
        <v>1077</v>
      </c>
      <c r="J30" s="24" t="s">
        <v>1056</v>
      </c>
      <c r="K30" s="24" t="s">
        <v>1057</v>
      </c>
      <c r="L30" s="24" t="s">
        <v>1059</v>
      </c>
      <c r="M30" s="24" t="s">
        <v>1060</v>
      </c>
      <c r="N30" s="24" t="s">
        <v>1061</v>
      </c>
      <c r="O30" s="24" t="s">
        <v>1062</v>
      </c>
      <c r="P30" s="24" t="s">
        <v>1063</v>
      </c>
      <c r="Q30" s="24" t="s">
        <v>1078</v>
      </c>
      <c r="R30" s="24" t="s">
        <v>1065</v>
      </c>
      <c r="S30" s="24" t="s">
        <v>621</v>
      </c>
    </row>
    <row r="31" spans="1:19" x14ac:dyDescent="0.25">
      <c r="A31" s="24" t="s">
        <v>1079</v>
      </c>
      <c r="B31" s="24" t="s">
        <v>1048</v>
      </c>
      <c r="C31" s="24" t="s">
        <v>1067</v>
      </c>
      <c r="D31" s="24" t="s">
        <v>1068</v>
      </c>
      <c r="E31" s="24" t="s">
        <v>1069</v>
      </c>
      <c r="F31" s="24" t="s">
        <v>1070</v>
      </c>
      <c r="G31" s="24" t="s">
        <v>1071</v>
      </c>
      <c r="H31" s="24" t="s">
        <v>1054</v>
      </c>
      <c r="I31" s="24" t="s">
        <v>1072</v>
      </c>
      <c r="J31" s="24" t="s">
        <v>1056</v>
      </c>
      <c r="K31" s="24" t="s">
        <v>1057</v>
      </c>
      <c r="L31" s="24" t="s">
        <v>1059</v>
      </c>
      <c r="M31" s="24" t="s">
        <v>1060</v>
      </c>
      <c r="N31" s="24" t="s">
        <v>1073</v>
      </c>
      <c r="O31" s="24" t="s">
        <v>1062</v>
      </c>
      <c r="P31" s="24" t="s">
        <v>1063</v>
      </c>
      <c r="Q31" s="24" t="s">
        <v>1074</v>
      </c>
      <c r="R31" s="24" t="s">
        <v>1065</v>
      </c>
      <c r="S31" s="24" t="s">
        <v>621</v>
      </c>
    </row>
    <row r="32" spans="1:19" x14ac:dyDescent="0.25">
      <c r="A32" s="24" t="s">
        <v>1080</v>
      </c>
      <c r="B32" s="24" t="s">
        <v>1048</v>
      </c>
      <c r="C32" s="24" t="s">
        <v>1081</v>
      </c>
      <c r="D32" s="24" t="s">
        <v>1082</v>
      </c>
      <c r="E32" s="24" t="s">
        <v>1083</v>
      </c>
      <c r="F32" s="24" t="s">
        <v>1084</v>
      </c>
      <c r="G32" s="24" t="s">
        <v>1085</v>
      </c>
      <c r="H32" s="24" t="s">
        <v>1086</v>
      </c>
      <c r="I32" s="24" t="s">
        <v>1054</v>
      </c>
      <c r="J32" s="24" t="s">
        <v>1087</v>
      </c>
      <c r="K32" s="24" t="s">
        <v>1056</v>
      </c>
      <c r="L32" s="24" t="s">
        <v>1088</v>
      </c>
      <c r="M32" s="24" t="s">
        <v>1059</v>
      </c>
      <c r="N32" s="24" t="s">
        <v>1089</v>
      </c>
      <c r="O32" s="24" t="s">
        <v>1090</v>
      </c>
      <c r="P32" s="24" t="s">
        <v>1091</v>
      </c>
      <c r="Q32" s="24" t="s">
        <v>1092</v>
      </c>
      <c r="R32" s="24" t="s">
        <v>1093</v>
      </c>
      <c r="S32" s="24" t="s">
        <v>621</v>
      </c>
    </row>
    <row r="33" spans="1:19" x14ac:dyDescent="0.25">
      <c r="A33" s="24" t="s">
        <v>644</v>
      </c>
      <c r="B33" s="24" t="s">
        <v>4727</v>
      </c>
      <c r="C33" s="24" t="s">
        <v>1094</v>
      </c>
      <c r="D33" s="24" t="s">
        <v>1095</v>
      </c>
      <c r="E33" s="24" t="s">
        <v>1096</v>
      </c>
      <c r="F33" s="24" t="s">
        <v>4728</v>
      </c>
      <c r="G33" s="24" t="s">
        <v>921</v>
      </c>
      <c r="H33" s="24" t="s">
        <v>772</v>
      </c>
      <c r="I33" s="24" t="s">
        <v>4729</v>
      </c>
      <c r="J33" s="24" t="s">
        <v>1097</v>
      </c>
      <c r="K33" s="24" t="s">
        <v>4730</v>
      </c>
      <c r="L33" s="24" t="s">
        <v>4731</v>
      </c>
      <c r="M33" s="24" t="s">
        <v>1098</v>
      </c>
      <c r="N33" s="24" t="s">
        <v>1099</v>
      </c>
      <c r="O33" s="24" t="s">
        <v>1100</v>
      </c>
      <c r="P33" s="24" t="s">
        <v>621</v>
      </c>
      <c r="Q33" s="24" t="s">
        <v>621</v>
      </c>
      <c r="R33" s="24" t="s">
        <v>621</v>
      </c>
      <c r="S33" s="24" t="s">
        <v>621</v>
      </c>
    </row>
    <row r="34" spans="1:19" x14ac:dyDescent="0.25">
      <c r="A34" s="24" t="s">
        <v>645</v>
      </c>
      <c r="B34" s="24" t="s">
        <v>4732</v>
      </c>
      <c r="C34" s="24" t="s">
        <v>1101</v>
      </c>
      <c r="D34" s="24" t="s">
        <v>1102</v>
      </c>
      <c r="E34" s="24" t="s">
        <v>4733</v>
      </c>
      <c r="F34" s="24" t="s">
        <v>1103</v>
      </c>
      <c r="G34" s="24" t="s">
        <v>4728</v>
      </c>
      <c r="H34" s="24" t="s">
        <v>921</v>
      </c>
      <c r="I34" s="24" t="s">
        <v>4734</v>
      </c>
      <c r="J34" s="24" t="s">
        <v>4735</v>
      </c>
      <c r="K34" s="24" t="s">
        <v>4736</v>
      </c>
      <c r="L34" s="24" t="s">
        <v>4737</v>
      </c>
      <c r="M34" s="24" t="s">
        <v>1104</v>
      </c>
      <c r="N34" s="24" t="s">
        <v>4738</v>
      </c>
      <c r="O34" s="24" t="s">
        <v>621</v>
      </c>
      <c r="P34" s="24" t="s">
        <v>621</v>
      </c>
      <c r="Q34" s="24" t="s">
        <v>621</v>
      </c>
      <c r="R34" s="24" t="s">
        <v>621</v>
      </c>
      <c r="S34" s="24" t="s">
        <v>621</v>
      </c>
    </row>
    <row r="35" spans="1:19" x14ac:dyDescent="0.25">
      <c r="A35" s="24" t="s">
        <v>646</v>
      </c>
      <c r="B35" s="24" t="s">
        <v>1105</v>
      </c>
      <c r="C35" s="24" t="s">
        <v>1106</v>
      </c>
      <c r="D35" s="24" t="s">
        <v>1107</v>
      </c>
      <c r="E35" s="24" t="s">
        <v>622</v>
      </c>
      <c r="F35" s="24" t="s">
        <v>4728</v>
      </c>
      <c r="G35" s="24" t="s">
        <v>921</v>
      </c>
      <c r="H35" s="24" t="s">
        <v>4739</v>
      </c>
      <c r="I35" s="24" t="s">
        <v>4734</v>
      </c>
      <c r="J35" s="24" t="s">
        <v>4735</v>
      </c>
      <c r="K35" s="24" t="s">
        <v>1097</v>
      </c>
      <c r="L35" s="24" t="s">
        <v>1108</v>
      </c>
      <c r="M35" s="24" t="s">
        <v>4731</v>
      </c>
      <c r="N35" s="24" t="s">
        <v>1109</v>
      </c>
      <c r="O35" s="24" t="s">
        <v>1110</v>
      </c>
      <c r="P35" s="24" t="s">
        <v>621</v>
      </c>
      <c r="Q35" s="24" t="s">
        <v>621</v>
      </c>
      <c r="R35" s="24" t="s">
        <v>621</v>
      </c>
      <c r="S35" s="24" t="s">
        <v>621</v>
      </c>
    </row>
    <row r="36" spans="1:19" x14ac:dyDescent="0.25">
      <c r="A36" s="24" t="s">
        <v>1111</v>
      </c>
      <c r="B36" s="24" t="s">
        <v>1112</v>
      </c>
      <c r="C36" s="24" t="s">
        <v>4740</v>
      </c>
      <c r="D36" s="24" t="s">
        <v>1113</v>
      </c>
      <c r="E36" s="24" t="s">
        <v>1114</v>
      </c>
      <c r="F36" s="24" t="s">
        <v>4733</v>
      </c>
      <c r="G36" s="24" t="s">
        <v>4728</v>
      </c>
      <c r="H36" s="24" t="s">
        <v>921</v>
      </c>
      <c r="I36" s="24" t="s">
        <v>4734</v>
      </c>
      <c r="J36" s="24" t="s">
        <v>4741</v>
      </c>
      <c r="K36" s="24" t="s">
        <v>4742</v>
      </c>
      <c r="L36" s="24" t="s">
        <v>4743</v>
      </c>
      <c r="M36" s="24" t="s">
        <v>1115</v>
      </c>
      <c r="N36" s="24" t="s">
        <v>1116</v>
      </c>
      <c r="O36" s="24" t="s">
        <v>4738</v>
      </c>
      <c r="P36" s="24" t="s">
        <v>621</v>
      </c>
      <c r="Q36" s="24" t="s">
        <v>621</v>
      </c>
      <c r="R36" s="24" t="s">
        <v>621</v>
      </c>
      <c r="S36" s="24" t="s">
        <v>621</v>
      </c>
    </row>
    <row r="37" spans="1:19" x14ac:dyDescent="0.25">
      <c r="A37" s="24" t="s">
        <v>1117</v>
      </c>
      <c r="B37" s="24" t="s">
        <v>1118</v>
      </c>
      <c r="C37" s="24" t="s">
        <v>4744</v>
      </c>
      <c r="D37" s="24" t="s">
        <v>1119</v>
      </c>
      <c r="E37" s="24" t="s">
        <v>4745</v>
      </c>
      <c r="F37" s="24" t="s">
        <v>4746</v>
      </c>
      <c r="G37" s="24" t="s">
        <v>1120</v>
      </c>
      <c r="H37" s="24" t="s">
        <v>1121</v>
      </c>
      <c r="I37" s="24" t="s">
        <v>4747</v>
      </c>
      <c r="J37" s="24" t="s">
        <v>4748</v>
      </c>
      <c r="K37" s="24" t="s">
        <v>4749</v>
      </c>
      <c r="L37" s="24" t="s">
        <v>4750</v>
      </c>
      <c r="M37" s="24" t="s">
        <v>4751</v>
      </c>
      <c r="N37" s="24" t="s">
        <v>4752</v>
      </c>
      <c r="O37" s="24" t="s">
        <v>4753</v>
      </c>
      <c r="P37" s="24" t="s">
        <v>621</v>
      </c>
      <c r="Q37" s="24" t="s">
        <v>621</v>
      </c>
      <c r="R37" s="24" t="s">
        <v>621</v>
      </c>
      <c r="S37" s="24" t="s">
        <v>621</v>
      </c>
    </row>
    <row r="38" spans="1:19" x14ac:dyDescent="0.25">
      <c r="A38" s="24" t="s">
        <v>647</v>
      </c>
      <c r="B38" s="24" t="s">
        <v>4754</v>
      </c>
      <c r="C38" s="24" t="s">
        <v>4755</v>
      </c>
      <c r="D38" s="24" t="s">
        <v>1122</v>
      </c>
      <c r="E38" s="24" t="s">
        <v>1123</v>
      </c>
      <c r="F38" s="24" t="s">
        <v>1124</v>
      </c>
      <c r="G38" s="24" t="s">
        <v>1125</v>
      </c>
      <c r="H38" s="24" t="s">
        <v>4756</v>
      </c>
      <c r="I38" s="24" t="s">
        <v>4757</v>
      </c>
      <c r="J38" s="24" t="s">
        <v>1126</v>
      </c>
      <c r="K38" s="24" t="s">
        <v>4758</v>
      </c>
      <c r="L38" s="24" t="s">
        <v>4759</v>
      </c>
      <c r="M38" s="24" t="s">
        <v>4760</v>
      </c>
      <c r="N38" s="24" t="s">
        <v>4761</v>
      </c>
      <c r="O38" s="24" t="s">
        <v>4762</v>
      </c>
      <c r="P38" s="24" t="s">
        <v>621</v>
      </c>
      <c r="Q38" s="24" t="s">
        <v>621</v>
      </c>
      <c r="R38" s="24" t="s">
        <v>621</v>
      </c>
      <c r="S38" s="24" t="s">
        <v>621</v>
      </c>
    </row>
    <row r="39" spans="1:19" x14ac:dyDescent="0.25">
      <c r="A39" s="24" t="s">
        <v>1127</v>
      </c>
      <c r="B39" s="24" t="s">
        <v>1128</v>
      </c>
      <c r="C39" s="24" t="s">
        <v>1129</v>
      </c>
      <c r="D39" s="24" t="s">
        <v>1130</v>
      </c>
      <c r="E39" s="24" t="s">
        <v>1131</v>
      </c>
      <c r="F39" s="24" t="s">
        <v>1132</v>
      </c>
      <c r="G39" s="24" t="s">
        <v>1133</v>
      </c>
      <c r="H39" s="24" t="s">
        <v>1134</v>
      </c>
      <c r="I39" s="24" t="s">
        <v>1135</v>
      </c>
      <c r="J39" s="24" t="s">
        <v>1136</v>
      </c>
      <c r="K39" s="24" t="s">
        <v>1137</v>
      </c>
      <c r="L39" s="24" t="s">
        <v>4763</v>
      </c>
      <c r="M39" s="24" t="s">
        <v>1138</v>
      </c>
      <c r="N39" s="24" t="s">
        <v>1139</v>
      </c>
      <c r="O39" s="24" t="s">
        <v>1140</v>
      </c>
      <c r="P39" s="24" t="s">
        <v>621</v>
      </c>
      <c r="Q39" s="24" t="s">
        <v>621</v>
      </c>
      <c r="R39" s="24" t="s">
        <v>621</v>
      </c>
      <c r="S39" s="24" t="s">
        <v>621</v>
      </c>
    </row>
    <row r="40" spans="1:19" x14ac:dyDescent="0.25">
      <c r="A40" s="24" t="s">
        <v>648</v>
      </c>
      <c r="B40" s="24" t="s">
        <v>4764</v>
      </c>
      <c r="C40" s="24" t="s">
        <v>1141</v>
      </c>
      <c r="D40" s="24" t="s">
        <v>4765</v>
      </c>
      <c r="E40" s="24" t="s">
        <v>1142</v>
      </c>
      <c r="F40" s="24" t="s">
        <v>1143</v>
      </c>
      <c r="G40" s="24" t="s">
        <v>4766</v>
      </c>
      <c r="H40" s="24" t="s">
        <v>1144</v>
      </c>
      <c r="I40" s="24" t="s">
        <v>1145</v>
      </c>
      <c r="J40" s="24" t="s">
        <v>1146</v>
      </c>
      <c r="K40" s="24" t="s">
        <v>1147</v>
      </c>
      <c r="L40" s="24" t="s">
        <v>1148</v>
      </c>
      <c r="M40" s="24" t="s">
        <v>1149</v>
      </c>
      <c r="N40" s="24" t="s">
        <v>4767</v>
      </c>
      <c r="O40" s="24" t="s">
        <v>621</v>
      </c>
      <c r="P40" s="24" t="s">
        <v>621</v>
      </c>
      <c r="Q40" s="24" t="s">
        <v>621</v>
      </c>
      <c r="R40" s="24" t="s">
        <v>621</v>
      </c>
      <c r="S40" s="24" t="s">
        <v>621</v>
      </c>
    </row>
    <row r="41" spans="1:19" x14ac:dyDescent="0.25">
      <c r="A41" s="24" t="s">
        <v>649</v>
      </c>
      <c r="B41" s="24" t="s">
        <v>4768</v>
      </c>
      <c r="C41" s="24" t="s">
        <v>4769</v>
      </c>
      <c r="D41" s="24" t="s">
        <v>1150</v>
      </c>
      <c r="E41" s="24" t="s">
        <v>1151</v>
      </c>
      <c r="F41" s="24" t="s">
        <v>4770</v>
      </c>
      <c r="G41" s="24" t="s">
        <v>1152</v>
      </c>
      <c r="H41" s="24" t="s">
        <v>1153</v>
      </c>
      <c r="I41" s="24" t="s">
        <v>4771</v>
      </c>
      <c r="J41" s="24" t="s">
        <v>4772</v>
      </c>
      <c r="K41" s="24" t="s">
        <v>4773</v>
      </c>
      <c r="L41" s="24" t="s">
        <v>4774</v>
      </c>
      <c r="M41" s="24" t="s">
        <v>1154</v>
      </c>
      <c r="N41" s="24" t="s">
        <v>4775</v>
      </c>
      <c r="O41" s="24" t="s">
        <v>621</v>
      </c>
      <c r="P41" s="24" t="s">
        <v>621</v>
      </c>
      <c r="Q41" s="24" t="s">
        <v>621</v>
      </c>
      <c r="R41" s="24" t="s">
        <v>621</v>
      </c>
      <c r="S41" s="24" t="s">
        <v>621</v>
      </c>
    </row>
    <row r="42" spans="1:19" x14ac:dyDescent="0.25">
      <c r="A42" s="24" t="s">
        <v>1155</v>
      </c>
      <c r="B42" s="24" t="s">
        <v>4776</v>
      </c>
      <c r="C42" s="24" t="s">
        <v>1156</v>
      </c>
      <c r="D42" s="24" t="s">
        <v>1157</v>
      </c>
      <c r="E42" s="24" t="s">
        <v>1158</v>
      </c>
      <c r="F42" s="24" t="s">
        <v>1159</v>
      </c>
      <c r="G42" s="24" t="s">
        <v>1160</v>
      </c>
      <c r="H42" s="24" t="s">
        <v>1161</v>
      </c>
      <c r="I42" s="24" t="s">
        <v>4777</v>
      </c>
      <c r="J42" s="24" t="s">
        <v>1162</v>
      </c>
      <c r="K42" s="24" t="s">
        <v>4778</v>
      </c>
      <c r="L42" s="24" t="s">
        <v>4779</v>
      </c>
      <c r="M42" s="24" t="s">
        <v>1163</v>
      </c>
      <c r="N42" s="24" t="s">
        <v>621</v>
      </c>
      <c r="O42" s="24" t="s">
        <v>621</v>
      </c>
      <c r="P42" s="24" t="s">
        <v>621</v>
      </c>
      <c r="Q42" s="24" t="s">
        <v>621</v>
      </c>
      <c r="R42" s="24" t="s">
        <v>621</v>
      </c>
      <c r="S42" s="24" t="s">
        <v>621</v>
      </c>
    </row>
    <row r="43" spans="1:19" x14ac:dyDescent="0.25">
      <c r="A43" s="24" t="s">
        <v>650</v>
      </c>
      <c r="B43" s="24" t="s">
        <v>4780</v>
      </c>
      <c r="C43" s="24" t="s">
        <v>4781</v>
      </c>
      <c r="D43" s="24" t="s">
        <v>1164</v>
      </c>
      <c r="E43" s="24" t="s">
        <v>1165</v>
      </c>
      <c r="F43" s="24" t="s">
        <v>1166</v>
      </c>
      <c r="G43" s="24" t="s">
        <v>4782</v>
      </c>
      <c r="H43" s="24" t="s">
        <v>4783</v>
      </c>
      <c r="I43" s="24" t="s">
        <v>1167</v>
      </c>
      <c r="J43" s="24" t="s">
        <v>1168</v>
      </c>
      <c r="K43" s="24" t="s">
        <v>4784</v>
      </c>
      <c r="L43" s="24" t="s">
        <v>4785</v>
      </c>
      <c r="M43" s="24" t="s">
        <v>4786</v>
      </c>
      <c r="N43" s="24" t="s">
        <v>4787</v>
      </c>
      <c r="O43" s="24" t="s">
        <v>4788</v>
      </c>
      <c r="P43" s="24" t="s">
        <v>621</v>
      </c>
      <c r="Q43" s="24" t="s">
        <v>621</v>
      </c>
      <c r="R43" s="24" t="s">
        <v>621</v>
      </c>
      <c r="S43" s="24" t="s">
        <v>621</v>
      </c>
    </row>
    <row r="44" spans="1:19" x14ac:dyDescent="0.25">
      <c r="A44" s="24" t="s">
        <v>651</v>
      </c>
      <c r="B44" s="24" t="s">
        <v>4789</v>
      </c>
      <c r="C44" s="24" t="s">
        <v>1169</v>
      </c>
      <c r="D44" s="24" t="s">
        <v>1170</v>
      </c>
      <c r="E44" s="24" t="s">
        <v>1171</v>
      </c>
      <c r="F44" s="24" t="s">
        <v>4790</v>
      </c>
      <c r="G44" s="24" t="s">
        <v>921</v>
      </c>
      <c r="H44" s="24" t="s">
        <v>4791</v>
      </c>
      <c r="I44" s="24" t="s">
        <v>4792</v>
      </c>
      <c r="J44" s="24" t="s">
        <v>1172</v>
      </c>
      <c r="K44" s="24" t="s">
        <v>4793</v>
      </c>
      <c r="L44" s="24" t="s">
        <v>1173</v>
      </c>
      <c r="M44" s="24" t="s">
        <v>1174</v>
      </c>
      <c r="N44" s="24" t="s">
        <v>1001</v>
      </c>
      <c r="O44" s="24" t="s">
        <v>621</v>
      </c>
      <c r="P44" s="24" t="s">
        <v>621</v>
      </c>
      <c r="Q44" s="24" t="s">
        <v>621</v>
      </c>
      <c r="R44" s="24" t="s">
        <v>621</v>
      </c>
      <c r="S44" s="24" t="s">
        <v>621</v>
      </c>
    </row>
    <row r="45" spans="1:19" x14ac:dyDescent="0.25">
      <c r="A45" s="24" t="s">
        <v>652</v>
      </c>
      <c r="B45" s="24" t="s">
        <v>1175</v>
      </c>
      <c r="C45" s="24" t="s">
        <v>1176</v>
      </c>
      <c r="D45" s="24" t="s">
        <v>1177</v>
      </c>
      <c r="E45" s="24" t="s">
        <v>1178</v>
      </c>
      <c r="F45" s="24" t="s">
        <v>1179</v>
      </c>
      <c r="G45" s="24" t="s">
        <v>1180</v>
      </c>
      <c r="H45" s="24" t="s">
        <v>1181</v>
      </c>
      <c r="I45" s="24" t="s">
        <v>1182</v>
      </c>
      <c r="J45" s="24" t="s">
        <v>1183</v>
      </c>
      <c r="K45" s="24" t="s">
        <v>1184</v>
      </c>
      <c r="L45" s="24" t="s">
        <v>4794</v>
      </c>
      <c r="M45" s="24" t="s">
        <v>790</v>
      </c>
      <c r="N45" s="24" t="s">
        <v>621</v>
      </c>
      <c r="O45" s="24" t="s">
        <v>621</v>
      </c>
      <c r="P45" s="24" t="s">
        <v>621</v>
      </c>
      <c r="Q45" s="24" t="s">
        <v>621</v>
      </c>
      <c r="R45" s="24" t="s">
        <v>621</v>
      </c>
      <c r="S45" s="24" t="s">
        <v>621</v>
      </c>
    </row>
    <row r="46" spans="1:19" x14ac:dyDescent="0.25">
      <c r="A46" s="24" t="s">
        <v>653</v>
      </c>
      <c r="B46" s="24" t="s">
        <v>4789</v>
      </c>
      <c r="C46" s="24" t="s">
        <v>4795</v>
      </c>
      <c r="D46" s="24" t="s">
        <v>1185</v>
      </c>
      <c r="E46" s="24" t="s">
        <v>1186</v>
      </c>
      <c r="F46" s="24" t="s">
        <v>4790</v>
      </c>
      <c r="G46" s="24" t="s">
        <v>4796</v>
      </c>
      <c r="H46" s="24" t="s">
        <v>4797</v>
      </c>
      <c r="I46" s="24" t="s">
        <v>4798</v>
      </c>
      <c r="J46" s="24" t="s">
        <v>921</v>
      </c>
      <c r="K46" s="24" t="s">
        <v>4791</v>
      </c>
      <c r="L46" s="24" t="s">
        <v>1172</v>
      </c>
      <c r="M46" s="24" t="s">
        <v>1187</v>
      </c>
      <c r="N46" s="24" t="s">
        <v>1174</v>
      </c>
      <c r="O46" s="24" t="s">
        <v>4799</v>
      </c>
      <c r="P46" s="24" t="s">
        <v>621</v>
      </c>
      <c r="Q46" s="24" t="s">
        <v>621</v>
      </c>
      <c r="R46" s="24" t="s">
        <v>621</v>
      </c>
      <c r="S46" s="24" t="s">
        <v>621</v>
      </c>
    </row>
    <row r="47" spans="1:19" x14ac:dyDescent="0.25">
      <c r="A47" s="24" t="s">
        <v>654</v>
      </c>
      <c r="B47" s="24" t="s">
        <v>1188</v>
      </c>
      <c r="C47" s="24" t="s">
        <v>1189</v>
      </c>
      <c r="D47" s="24" t="s">
        <v>1190</v>
      </c>
      <c r="E47" s="24" t="s">
        <v>1191</v>
      </c>
      <c r="F47" s="24" t="s">
        <v>4800</v>
      </c>
      <c r="G47" s="24" t="s">
        <v>4801</v>
      </c>
      <c r="H47" s="24" t="s">
        <v>1192</v>
      </c>
      <c r="I47" s="24" t="s">
        <v>1193</v>
      </c>
      <c r="J47" s="24" t="s">
        <v>4802</v>
      </c>
      <c r="K47" s="24" t="s">
        <v>4803</v>
      </c>
      <c r="L47" s="24" t="s">
        <v>4804</v>
      </c>
      <c r="M47" s="24" t="s">
        <v>4805</v>
      </c>
      <c r="N47" s="24" t="s">
        <v>621</v>
      </c>
      <c r="O47" s="24" t="s">
        <v>621</v>
      </c>
      <c r="P47" s="24" t="s">
        <v>621</v>
      </c>
      <c r="Q47" s="24" t="s">
        <v>621</v>
      </c>
      <c r="R47" s="24" t="s">
        <v>621</v>
      </c>
      <c r="S47" s="24" t="s">
        <v>621</v>
      </c>
    </row>
    <row r="48" spans="1:19" x14ac:dyDescent="0.25">
      <c r="A48" s="24" t="s">
        <v>1194</v>
      </c>
      <c r="B48" s="24" t="s">
        <v>1195</v>
      </c>
      <c r="C48" s="24" t="s">
        <v>1196</v>
      </c>
      <c r="D48" s="24" t="s">
        <v>1197</v>
      </c>
      <c r="E48" s="24" t="s">
        <v>1198</v>
      </c>
      <c r="F48" s="24" t="s">
        <v>1199</v>
      </c>
      <c r="G48" s="24" t="s">
        <v>1200</v>
      </c>
      <c r="H48" s="24" t="s">
        <v>4806</v>
      </c>
      <c r="I48" s="24" t="s">
        <v>1201</v>
      </c>
      <c r="J48" s="24" t="s">
        <v>4807</v>
      </c>
      <c r="K48" s="24" t="s">
        <v>4808</v>
      </c>
      <c r="L48" s="24" t="s">
        <v>1202</v>
      </c>
      <c r="M48" s="24" t="s">
        <v>1203</v>
      </c>
      <c r="N48" s="24" t="s">
        <v>1204</v>
      </c>
      <c r="O48" s="24" t="s">
        <v>621</v>
      </c>
      <c r="P48" s="24" t="s">
        <v>621</v>
      </c>
      <c r="Q48" s="24" t="s">
        <v>621</v>
      </c>
      <c r="R48" s="24" t="s">
        <v>621</v>
      </c>
      <c r="S48" s="24" t="s">
        <v>621</v>
      </c>
    </row>
    <row r="49" spans="1:19" x14ac:dyDescent="0.25">
      <c r="A49" s="24" t="s">
        <v>1205</v>
      </c>
      <c r="B49" s="24" t="s">
        <v>4809</v>
      </c>
      <c r="C49" s="24" t="s">
        <v>1206</v>
      </c>
      <c r="D49" s="24" t="s">
        <v>1207</v>
      </c>
      <c r="E49" s="24" t="s">
        <v>1208</v>
      </c>
      <c r="F49" s="24" t="s">
        <v>1209</v>
      </c>
      <c r="G49" s="24" t="s">
        <v>4810</v>
      </c>
      <c r="H49" s="24" t="s">
        <v>4811</v>
      </c>
      <c r="I49" s="24" t="s">
        <v>1210</v>
      </c>
      <c r="J49" s="24" t="s">
        <v>1211</v>
      </c>
      <c r="K49" s="24" t="s">
        <v>4812</v>
      </c>
      <c r="L49" s="24" t="s">
        <v>4813</v>
      </c>
      <c r="M49" s="24" t="s">
        <v>621</v>
      </c>
      <c r="N49" s="24" t="s">
        <v>621</v>
      </c>
      <c r="O49" s="24" t="s">
        <v>621</v>
      </c>
      <c r="P49" s="24" t="s">
        <v>621</v>
      </c>
      <c r="Q49" s="24" t="s">
        <v>621</v>
      </c>
      <c r="R49" s="24" t="s">
        <v>621</v>
      </c>
      <c r="S49" s="24" t="s">
        <v>621</v>
      </c>
    </row>
    <row r="50" spans="1:19" x14ac:dyDescent="0.25">
      <c r="A50" s="24" t="s">
        <v>655</v>
      </c>
      <c r="B50" s="24" t="s">
        <v>1212</v>
      </c>
      <c r="C50" s="24" t="s">
        <v>1213</v>
      </c>
      <c r="D50" s="24" t="s">
        <v>1214</v>
      </c>
      <c r="E50" s="24" t="s">
        <v>1215</v>
      </c>
      <c r="F50" s="24" t="s">
        <v>1216</v>
      </c>
      <c r="G50" s="24" t="s">
        <v>1217</v>
      </c>
      <c r="H50" s="24" t="s">
        <v>1218</v>
      </c>
      <c r="I50" s="24" t="s">
        <v>1219</v>
      </c>
      <c r="J50" s="24" t="s">
        <v>1220</v>
      </c>
      <c r="K50" s="24" t="s">
        <v>1221</v>
      </c>
      <c r="L50" s="24" t="s">
        <v>1222</v>
      </c>
      <c r="M50" s="24" t="s">
        <v>623</v>
      </c>
      <c r="N50" s="24" t="s">
        <v>1223</v>
      </c>
      <c r="O50" s="24" t="s">
        <v>621</v>
      </c>
      <c r="P50" s="24" t="s">
        <v>621</v>
      </c>
      <c r="Q50" s="24" t="s">
        <v>621</v>
      </c>
      <c r="R50" s="24" t="s">
        <v>621</v>
      </c>
      <c r="S50" s="24" t="s">
        <v>621</v>
      </c>
    </row>
    <row r="51" spans="1:19" x14ac:dyDescent="0.25">
      <c r="A51" s="24" t="s">
        <v>1224</v>
      </c>
      <c r="B51" s="24" t="s">
        <v>4814</v>
      </c>
      <c r="C51" s="24" t="s">
        <v>4815</v>
      </c>
      <c r="D51" s="24" t="s">
        <v>4816</v>
      </c>
      <c r="E51" s="24" t="s">
        <v>4817</v>
      </c>
      <c r="F51" s="24" t="s">
        <v>1225</v>
      </c>
      <c r="G51" s="24" t="s">
        <v>4818</v>
      </c>
      <c r="H51" s="24" t="s">
        <v>1226</v>
      </c>
      <c r="I51" s="24" t="s">
        <v>1227</v>
      </c>
      <c r="J51" s="24" t="s">
        <v>4819</v>
      </c>
      <c r="K51" s="24" t="s">
        <v>4820</v>
      </c>
      <c r="L51" s="24" t="s">
        <v>4821</v>
      </c>
      <c r="M51" s="24" t="s">
        <v>1228</v>
      </c>
      <c r="N51" s="24" t="s">
        <v>4822</v>
      </c>
      <c r="O51" s="24" t="s">
        <v>621</v>
      </c>
      <c r="P51" s="24" t="s">
        <v>621</v>
      </c>
      <c r="Q51" s="24" t="s">
        <v>621</v>
      </c>
      <c r="R51" s="24" t="s">
        <v>621</v>
      </c>
      <c r="S51" s="24" t="s">
        <v>621</v>
      </c>
    </row>
    <row r="52" spans="1:19" x14ac:dyDescent="0.25">
      <c r="A52" s="24" t="s">
        <v>656</v>
      </c>
      <c r="B52" s="24" t="s">
        <v>4823</v>
      </c>
      <c r="C52" s="24" t="s">
        <v>4824</v>
      </c>
      <c r="D52" s="24" t="s">
        <v>1229</v>
      </c>
      <c r="E52" s="24" t="s">
        <v>1230</v>
      </c>
      <c r="F52" s="24" t="s">
        <v>1231</v>
      </c>
      <c r="G52" s="24" t="s">
        <v>4825</v>
      </c>
      <c r="H52" s="24" t="s">
        <v>4826</v>
      </c>
      <c r="I52" s="24" t="s">
        <v>4827</v>
      </c>
      <c r="J52" s="24" t="s">
        <v>4828</v>
      </c>
      <c r="K52" s="24" t="s">
        <v>4829</v>
      </c>
      <c r="L52" s="24" t="s">
        <v>621</v>
      </c>
      <c r="M52" s="24" t="s">
        <v>621</v>
      </c>
      <c r="N52" s="24" t="s">
        <v>621</v>
      </c>
      <c r="O52" s="24" t="s">
        <v>621</v>
      </c>
      <c r="P52" s="24" t="s">
        <v>621</v>
      </c>
      <c r="Q52" s="24" t="s">
        <v>621</v>
      </c>
      <c r="R52" s="24" t="s">
        <v>621</v>
      </c>
      <c r="S52" s="24" t="s">
        <v>621</v>
      </c>
    </row>
    <row r="53" spans="1:19" x14ac:dyDescent="0.25">
      <c r="A53" s="24" t="s">
        <v>1232</v>
      </c>
      <c r="B53" s="24" t="s">
        <v>4830</v>
      </c>
      <c r="C53" s="24" t="s">
        <v>1233</v>
      </c>
      <c r="D53" s="24" t="s">
        <v>1234</v>
      </c>
      <c r="E53" s="24" t="s">
        <v>1235</v>
      </c>
      <c r="F53" s="24" t="s">
        <v>1211</v>
      </c>
      <c r="G53" s="24" t="s">
        <v>1236</v>
      </c>
      <c r="H53" s="24" t="s">
        <v>1237</v>
      </c>
      <c r="I53" s="24" t="s">
        <v>1238</v>
      </c>
      <c r="J53" s="24" t="s">
        <v>4831</v>
      </c>
      <c r="K53" s="24" t="s">
        <v>4832</v>
      </c>
      <c r="L53" s="24" t="s">
        <v>621</v>
      </c>
      <c r="M53" s="24" t="s">
        <v>621</v>
      </c>
      <c r="N53" s="24" t="s">
        <v>621</v>
      </c>
      <c r="O53" s="24" t="s">
        <v>621</v>
      </c>
      <c r="P53" s="24" t="s">
        <v>621</v>
      </c>
      <c r="Q53" s="24" t="s">
        <v>621</v>
      </c>
      <c r="R53" s="24" t="s">
        <v>621</v>
      </c>
      <c r="S53" s="24" t="s">
        <v>621</v>
      </c>
    </row>
    <row r="54" spans="1:19" x14ac:dyDescent="0.25">
      <c r="A54" s="24" t="s">
        <v>1239</v>
      </c>
      <c r="B54" s="24" t="s">
        <v>4833</v>
      </c>
      <c r="C54" s="24" t="s">
        <v>4834</v>
      </c>
      <c r="D54" s="24" t="s">
        <v>1240</v>
      </c>
      <c r="E54" s="24" t="s">
        <v>4835</v>
      </c>
      <c r="F54" s="24" t="s">
        <v>4836</v>
      </c>
      <c r="G54" s="24" t="s">
        <v>1241</v>
      </c>
      <c r="H54" s="24" t="s">
        <v>1242</v>
      </c>
      <c r="I54" s="24" t="s">
        <v>4837</v>
      </c>
      <c r="J54" s="24" t="s">
        <v>4838</v>
      </c>
      <c r="K54" s="24" t="s">
        <v>4839</v>
      </c>
      <c r="L54" s="24" t="s">
        <v>4840</v>
      </c>
      <c r="M54" s="24" t="s">
        <v>4841</v>
      </c>
      <c r="N54" s="24" t="s">
        <v>4842</v>
      </c>
      <c r="O54" s="24" t="s">
        <v>621</v>
      </c>
      <c r="P54" s="24" t="s">
        <v>621</v>
      </c>
      <c r="Q54" s="24" t="s">
        <v>621</v>
      </c>
      <c r="R54" s="24" t="s">
        <v>621</v>
      </c>
      <c r="S54" s="24" t="s">
        <v>621</v>
      </c>
    </row>
    <row r="55" spans="1:19" x14ac:dyDescent="0.25">
      <c r="A55" s="24" t="s">
        <v>1243</v>
      </c>
      <c r="B55" s="24" t="s">
        <v>1244</v>
      </c>
      <c r="C55" s="24" t="s">
        <v>1245</v>
      </c>
      <c r="D55" s="24" t="s">
        <v>1246</v>
      </c>
      <c r="E55" s="24" t="s">
        <v>1247</v>
      </c>
      <c r="F55" s="24" t="s">
        <v>1248</v>
      </c>
      <c r="G55" s="24" t="s">
        <v>1249</v>
      </c>
      <c r="H55" s="24" t="s">
        <v>1250</v>
      </c>
      <c r="I55" s="24" t="s">
        <v>1251</v>
      </c>
      <c r="J55" s="24" t="s">
        <v>1252</v>
      </c>
      <c r="K55" s="24" t="s">
        <v>1253</v>
      </c>
      <c r="L55" s="24" t="s">
        <v>1254</v>
      </c>
      <c r="M55" s="24" t="s">
        <v>1255</v>
      </c>
      <c r="N55" s="24" t="s">
        <v>621</v>
      </c>
      <c r="O55" s="24" t="s">
        <v>621</v>
      </c>
      <c r="P55" s="24" t="s">
        <v>621</v>
      </c>
      <c r="Q55" s="24" t="s">
        <v>621</v>
      </c>
      <c r="R55" s="24" t="s">
        <v>621</v>
      </c>
      <c r="S55" s="24" t="s">
        <v>621</v>
      </c>
    </row>
    <row r="56" spans="1:19" x14ac:dyDescent="0.25">
      <c r="A56" s="24" t="s">
        <v>1256</v>
      </c>
      <c r="B56" s="24" t="s">
        <v>4843</v>
      </c>
      <c r="C56" s="24" t="s">
        <v>4844</v>
      </c>
      <c r="D56" s="24" t="s">
        <v>4845</v>
      </c>
      <c r="E56" s="24" t="s">
        <v>4846</v>
      </c>
      <c r="F56" s="24" t="s">
        <v>4847</v>
      </c>
      <c r="G56" s="24" t="s">
        <v>4848</v>
      </c>
      <c r="H56" s="24" t="s">
        <v>4849</v>
      </c>
      <c r="I56" s="24" t="s">
        <v>1257</v>
      </c>
      <c r="J56" s="24" t="s">
        <v>1258</v>
      </c>
      <c r="K56" s="24" t="s">
        <v>1259</v>
      </c>
      <c r="L56" s="24" t="s">
        <v>4850</v>
      </c>
      <c r="M56" s="24" t="s">
        <v>747</v>
      </c>
      <c r="N56" s="24" t="s">
        <v>1260</v>
      </c>
      <c r="O56" s="24" t="s">
        <v>621</v>
      </c>
      <c r="P56" s="24" t="s">
        <v>621</v>
      </c>
      <c r="Q56" s="24" t="s">
        <v>621</v>
      </c>
      <c r="R56" s="24" t="s">
        <v>621</v>
      </c>
      <c r="S56" s="24" t="s">
        <v>621</v>
      </c>
    </row>
    <row r="57" spans="1:19" x14ac:dyDescent="0.25">
      <c r="A57" s="24" t="s">
        <v>657</v>
      </c>
      <c r="B57" s="24" t="s">
        <v>4851</v>
      </c>
      <c r="C57" s="24" t="s">
        <v>1261</v>
      </c>
      <c r="D57" s="24" t="s">
        <v>1262</v>
      </c>
      <c r="E57" s="24" t="s">
        <v>1263</v>
      </c>
      <c r="F57" s="24" t="s">
        <v>1264</v>
      </c>
      <c r="G57" s="24" t="s">
        <v>4852</v>
      </c>
      <c r="H57" s="24" t="s">
        <v>4853</v>
      </c>
      <c r="I57" s="24" t="s">
        <v>1265</v>
      </c>
      <c r="J57" s="24" t="s">
        <v>4854</v>
      </c>
      <c r="K57" s="24" t="s">
        <v>1266</v>
      </c>
      <c r="L57" s="24" t="s">
        <v>4855</v>
      </c>
      <c r="M57" s="24" t="s">
        <v>1267</v>
      </c>
      <c r="N57" s="24" t="s">
        <v>1268</v>
      </c>
      <c r="O57" s="24" t="s">
        <v>1269</v>
      </c>
      <c r="P57" s="24" t="s">
        <v>621</v>
      </c>
      <c r="Q57" s="24" t="s">
        <v>621</v>
      </c>
      <c r="R57" s="24" t="s">
        <v>621</v>
      </c>
      <c r="S57" s="24" t="s">
        <v>621</v>
      </c>
    </row>
    <row r="58" spans="1:19" x14ac:dyDescent="0.25">
      <c r="A58" s="24" t="s">
        <v>658</v>
      </c>
      <c r="B58" s="24" t="s">
        <v>4856</v>
      </c>
      <c r="C58" s="24" t="s">
        <v>1270</v>
      </c>
      <c r="D58" s="24" t="s">
        <v>4857</v>
      </c>
      <c r="E58" s="24" t="s">
        <v>4858</v>
      </c>
      <c r="F58" s="24" t="s">
        <v>4859</v>
      </c>
      <c r="G58" s="24" t="s">
        <v>1271</v>
      </c>
      <c r="H58" s="24" t="s">
        <v>1272</v>
      </c>
      <c r="I58" s="24" t="s">
        <v>1273</v>
      </c>
      <c r="J58" s="24" t="s">
        <v>1274</v>
      </c>
      <c r="K58" s="24" t="s">
        <v>4860</v>
      </c>
      <c r="L58" s="24" t="s">
        <v>4861</v>
      </c>
      <c r="M58" s="24" t="s">
        <v>621</v>
      </c>
      <c r="N58" s="24" t="s">
        <v>621</v>
      </c>
      <c r="O58" s="24" t="s">
        <v>621</v>
      </c>
      <c r="P58" s="24" t="s">
        <v>621</v>
      </c>
      <c r="Q58" s="24" t="s">
        <v>621</v>
      </c>
      <c r="R58" s="24" t="s">
        <v>621</v>
      </c>
      <c r="S58" s="24" t="s">
        <v>621</v>
      </c>
    </row>
    <row r="59" spans="1:19" x14ac:dyDescent="0.25">
      <c r="A59" s="24" t="s">
        <v>659</v>
      </c>
      <c r="B59" s="24" t="s">
        <v>4862</v>
      </c>
      <c r="C59" s="24" t="s">
        <v>1275</v>
      </c>
      <c r="D59" s="24" t="s">
        <v>4863</v>
      </c>
      <c r="E59" s="24" t="s">
        <v>1276</v>
      </c>
      <c r="F59" s="24" t="s">
        <v>1277</v>
      </c>
      <c r="G59" s="24" t="s">
        <v>1278</v>
      </c>
      <c r="H59" s="24" t="s">
        <v>4864</v>
      </c>
      <c r="I59" s="24" t="s">
        <v>4865</v>
      </c>
      <c r="J59" s="24" t="s">
        <v>4866</v>
      </c>
      <c r="K59" s="24" t="s">
        <v>4867</v>
      </c>
      <c r="L59" s="24" t="s">
        <v>4868</v>
      </c>
      <c r="M59" s="24" t="s">
        <v>4869</v>
      </c>
      <c r="N59" s="24" t="s">
        <v>621</v>
      </c>
      <c r="O59" s="24" t="s">
        <v>621</v>
      </c>
      <c r="P59" s="24" t="s">
        <v>621</v>
      </c>
      <c r="Q59" s="24" t="s">
        <v>621</v>
      </c>
      <c r="R59" s="24" t="s">
        <v>621</v>
      </c>
      <c r="S59" s="24" t="s">
        <v>621</v>
      </c>
    </row>
    <row r="60" spans="1:19" x14ac:dyDescent="0.25">
      <c r="A60" s="24" t="s">
        <v>1279</v>
      </c>
      <c r="B60" s="24" t="s">
        <v>1280</v>
      </c>
      <c r="C60" s="24" t="s">
        <v>4870</v>
      </c>
      <c r="D60" s="24" t="s">
        <v>1281</v>
      </c>
      <c r="E60" s="24" t="s">
        <v>4871</v>
      </c>
      <c r="F60" s="24" t="s">
        <v>1282</v>
      </c>
      <c r="G60" s="24" t="s">
        <v>1283</v>
      </c>
      <c r="H60" s="24" t="s">
        <v>4872</v>
      </c>
      <c r="I60" s="24" t="s">
        <v>4873</v>
      </c>
      <c r="J60" s="24" t="s">
        <v>1284</v>
      </c>
      <c r="K60" s="24" t="s">
        <v>1285</v>
      </c>
      <c r="L60" s="24" t="s">
        <v>4874</v>
      </c>
      <c r="M60" s="24" t="s">
        <v>4875</v>
      </c>
      <c r="N60" s="24" t="s">
        <v>621</v>
      </c>
      <c r="O60" s="24" t="s">
        <v>621</v>
      </c>
      <c r="P60" s="24" t="s">
        <v>621</v>
      </c>
      <c r="Q60" s="24" t="s">
        <v>621</v>
      </c>
      <c r="R60" s="24" t="s">
        <v>621</v>
      </c>
      <c r="S60" s="24" t="s">
        <v>621</v>
      </c>
    </row>
    <row r="61" spans="1:19" x14ac:dyDescent="0.25">
      <c r="A61" s="24" t="s">
        <v>1286</v>
      </c>
      <c r="B61" s="24" t="s">
        <v>4876</v>
      </c>
      <c r="C61" s="24" t="s">
        <v>1287</v>
      </c>
      <c r="D61" s="24" t="s">
        <v>1288</v>
      </c>
      <c r="E61" s="24" t="s">
        <v>1289</v>
      </c>
      <c r="F61" s="24" t="s">
        <v>4597</v>
      </c>
      <c r="G61" s="24" t="s">
        <v>765</v>
      </c>
      <c r="H61" s="24" t="s">
        <v>1290</v>
      </c>
      <c r="I61" s="24" t="s">
        <v>4651</v>
      </c>
      <c r="J61" s="24" t="s">
        <v>1291</v>
      </c>
      <c r="K61" s="24" t="s">
        <v>762</v>
      </c>
      <c r="L61" s="24" t="s">
        <v>1292</v>
      </c>
      <c r="M61" s="24" t="s">
        <v>1293</v>
      </c>
      <c r="N61" s="24" t="s">
        <v>4654</v>
      </c>
      <c r="O61" s="24" t="s">
        <v>621</v>
      </c>
      <c r="P61" s="24" t="s">
        <v>621</v>
      </c>
      <c r="Q61" s="24" t="s">
        <v>621</v>
      </c>
      <c r="R61" s="24" t="s">
        <v>621</v>
      </c>
      <c r="S61" s="24" t="s">
        <v>621</v>
      </c>
    </row>
    <row r="62" spans="1:19" x14ac:dyDescent="0.25">
      <c r="A62" s="24" t="s">
        <v>1294</v>
      </c>
      <c r="B62" s="24" t="s">
        <v>4596</v>
      </c>
      <c r="C62" s="24" t="s">
        <v>1295</v>
      </c>
      <c r="D62" s="24" t="s">
        <v>1296</v>
      </c>
      <c r="E62" s="24" t="s">
        <v>1297</v>
      </c>
      <c r="F62" s="24" t="s">
        <v>4597</v>
      </c>
      <c r="G62" s="24" t="s">
        <v>4877</v>
      </c>
      <c r="H62" s="24" t="s">
        <v>4878</v>
      </c>
      <c r="I62" s="24" t="s">
        <v>4651</v>
      </c>
      <c r="J62" s="24" t="s">
        <v>4600</v>
      </c>
      <c r="K62" s="24" t="s">
        <v>4879</v>
      </c>
      <c r="L62" s="24" t="s">
        <v>4880</v>
      </c>
      <c r="M62" s="24" t="s">
        <v>4881</v>
      </c>
      <c r="N62" s="24" t="s">
        <v>705</v>
      </c>
      <c r="O62" s="24" t="s">
        <v>621</v>
      </c>
      <c r="P62" s="24" t="s">
        <v>621</v>
      </c>
      <c r="Q62" s="24" t="s">
        <v>621</v>
      </c>
      <c r="R62" s="24" t="s">
        <v>621</v>
      </c>
      <c r="S62" s="24" t="s">
        <v>621</v>
      </c>
    </row>
    <row r="63" spans="1:19" x14ac:dyDescent="0.25">
      <c r="A63" s="24" t="s">
        <v>1298</v>
      </c>
      <c r="B63" s="24" t="s">
        <v>1299</v>
      </c>
      <c r="C63" s="24" t="s">
        <v>1300</v>
      </c>
      <c r="D63" s="24" t="s">
        <v>1301</v>
      </c>
      <c r="E63" s="24" t="s">
        <v>1302</v>
      </c>
      <c r="F63" s="24" t="s">
        <v>1303</v>
      </c>
      <c r="G63" s="24" t="s">
        <v>1304</v>
      </c>
      <c r="H63" s="24" t="s">
        <v>4882</v>
      </c>
      <c r="I63" s="24" t="s">
        <v>1305</v>
      </c>
      <c r="J63" s="24" t="s">
        <v>1306</v>
      </c>
      <c r="K63" s="24" t="s">
        <v>1307</v>
      </c>
      <c r="L63" s="24" t="s">
        <v>1308</v>
      </c>
      <c r="M63" s="24" t="s">
        <v>1309</v>
      </c>
      <c r="N63" s="24" t="s">
        <v>621</v>
      </c>
      <c r="O63" s="24" t="s">
        <v>621</v>
      </c>
      <c r="P63" s="24" t="s">
        <v>621</v>
      </c>
      <c r="Q63" s="24" t="s">
        <v>621</v>
      </c>
      <c r="R63" s="24" t="s">
        <v>621</v>
      </c>
      <c r="S63" s="24" t="s">
        <v>621</v>
      </c>
    </row>
    <row r="64" spans="1:19" x14ac:dyDescent="0.25">
      <c r="A64" s="24" t="s">
        <v>660</v>
      </c>
      <c r="B64" s="24" t="s">
        <v>1310</v>
      </c>
      <c r="C64" s="24" t="s">
        <v>1311</v>
      </c>
      <c r="D64" s="24" t="s">
        <v>1312</v>
      </c>
      <c r="E64" s="24" t="s">
        <v>733</v>
      </c>
      <c r="F64" s="24" t="s">
        <v>4883</v>
      </c>
      <c r="G64" s="24" t="s">
        <v>4884</v>
      </c>
      <c r="H64" s="24" t="s">
        <v>1313</v>
      </c>
      <c r="I64" s="24" t="s">
        <v>4885</v>
      </c>
      <c r="J64" s="24" t="s">
        <v>4886</v>
      </c>
      <c r="K64" s="24" t="s">
        <v>4887</v>
      </c>
      <c r="L64" s="24" t="s">
        <v>1314</v>
      </c>
      <c r="M64" s="24" t="s">
        <v>1315</v>
      </c>
      <c r="N64" s="24" t="s">
        <v>4888</v>
      </c>
      <c r="O64" s="24" t="s">
        <v>621</v>
      </c>
      <c r="P64" s="24" t="s">
        <v>621</v>
      </c>
      <c r="Q64" s="24" t="s">
        <v>621</v>
      </c>
      <c r="R64" s="24" t="s">
        <v>621</v>
      </c>
      <c r="S64" s="24" t="s">
        <v>621</v>
      </c>
    </row>
    <row r="65" spans="1:19" x14ac:dyDescent="0.25">
      <c r="A65" s="24" t="s">
        <v>661</v>
      </c>
      <c r="B65" s="24" t="s">
        <v>4889</v>
      </c>
      <c r="C65" s="24" t="s">
        <v>1316</v>
      </c>
      <c r="D65" s="24" t="s">
        <v>1317</v>
      </c>
      <c r="E65" s="24" t="s">
        <v>1318</v>
      </c>
      <c r="F65" s="24" t="s">
        <v>4890</v>
      </c>
      <c r="G65" s="24" t="s">
        <v>4891</v>
      </c>
      <c r="H65" s="24" t="s">
        <v>4892</v>
      </c>
      <c r="I65" s="24" t="s">
        <v>4893</v>
      </c>
      <c r="J65" s="24" t="s">
        <v>4894</v>
      </c>
      <c r="K65" s="24" t="s">
        <v>4895</v>
      </c>
      <c r="L65" s="24" t="s">
        <v>1319</v>
      </c>
      <c r="M65" s="24" t="s">
        <v>4896</v>
      </c>
      <c r="N65" s="24" t="s">
        <v>621</v>
      </c>
      <c r="O65" s="24" t="s">
        <v>621</v>
      </c>
      <c r="P65" s="24" t="s">
        <v>621</v>
      </c>
      <c r="Q65" s="24" t="s">
        <v>621</v>
      </c>
      <c r="R65" s="24" t="s">
        <v>621</v>
      </c>
      <c r="S65" s="24" t="s">
        <v>621</v>
      </c>
    </row>
    <row r="66" spans="1:19" x14ac:dyDescent="0.25">
      <c r="A66" s="24" t="s">
        <v>1320</v>
      </c>
      <c r="B66" s="24" t="s">
        <v>4897</v>
      </c>
      <c r="C66" s="24" t="s">
        <v>4898</v>
      </c>
      <c r="D66" s="24" t="s">
        <v>1321</v>
      </c>
      <c r="E66" s="24" t="s">
        <v>1322</v>
      </c>
      <c r="F66" s="24" t="s">
        <v>1323</v>
      </c>
      <c r="G66" s="24" t="s">
        <v>1324</v>
      </c>
      <c r="H66" s="24" t="s">
        <v>1325</v>
      </c>
      <c r="I66" s="24" t="s">
        <v>4899</v>
      </c>
      <c r="J66" s="24" t="s">
        <v>1326</v>
      </c>
      <c r="K66" s="24" t="s">
        <v>1327</v>
      </c>
      <c r="L66" s="24" t="s">
        <v>4900</v>
      </c>
      <c r="M66" s="24" t="s">
        <v>1328</v>
      </c>
      <c r="N66" s="24" t="s">
        <v>4901</v>
      </c>
      <c r="O66" s="24" t="s">
        <v>621</v>
      </c>
      <c r="P66" s="24" t="s">
        <v>621</v>
      </c>
      <c r="Q66" s="24" t="s">
        <v>621</v>
      </c>
      <c r="R66" s="24" t="s">
        <v>621</v>
      </c>
      <c r="S66" s="24" t="s">
        <v>621</v>
      </c>
    </row>
    <row r="67" spans="1:19" x14ac:dyDescent="0.25">
      <c r="A67" s="24" t="s">
        <v>1329</v>
      </c>
      <c r="B67" s="24" t="s">
        <v>1330</v>
      </c>
      <c r="C67" s="24" t="s">
        <v>1331</v>
      </c>
      <c r="D67" s="24" t="s">
        <v>1332</v>
      </c>
      <c r="E67" s="24" t="s">
        <v>1333</v>
      </c>
      <c r="F67" s="24" t="s">
        <v>1334</v>
      </c>
      <c r="G67" s="24" t="s">
        <v>1335</v>
      </c>
      <c r="H67" s="24" t="s">
        <v>1336</v>
      </c>
      <c r="I67" s="24" t="s">
        <v>4902</v>
      </c>
      <c r="J67" s="24" t="s">
        <v>1237</v>
      </c>
      <c r="K67" s="24" t="s">
        <v>1337</v>
      </c>
      <c r="L67" s="24" t="s">
        <v>1338</v>
      </c>
      <c r="M67" s="24" t="s">
        <v>4903</v>
      </c>
      <c r="N67" s="24" t="s">
        <v>621</v>
      </c>
      <c r="O67" s="24" t="s">
        <v>621</v>
      </c>
      <c r="P67" s="24" t="s">
        <v>621</v>
      </c>
      <c r="Q67" s="24" t="s">
        <v>621</v>
      </c>
      <c r="R67" s="24" t="s">
        <v>621</v>
      </c>
      <c r="S67" s="24" t="s">
        <v>621</v>
      </c>
    </row>
    <row r="68" spans="1:19" x14ac:dyDescent="0.25">
      <c r="A68" s="24" t="s">
        <v>662</v>
      </c>
      <c r="B68" s="24" t="s">
        <v>4904</v>
      </c>
      <c r="C68" s="24" t="s">
        <v>4905</v>
      </c>
      <c r="D68" s="24" t="s">
        <v>4906</v>
      </c>
      <c r="E68" s="24" t="s">
        <v>1339</v>
      </c>
      <c r="F68" s="24" t="s">
        <v>4907</v>
      </c>
      <c r="G68" s="24" t="s">
        <v>4908</v>
      </c>
      <c r="H68" s="24" t="s">
        <v>1340</v>
      </c>
      <c r="I68" s="24" t="s">
        <v>1341</v>
      </c>
      <c r="J68" s="24" t="s">
        <v>1342</v>
      </c>
      <c r="K68" s="24" t="s">
        <v>1343</v>
      </c>
      <c r="L68" s="24" t="s">
        <v>921</v>
      </c>
      <c r="M68" s="24" t="s">
        <v>1344</v>
      </c>
      <c r="N68" s="24" t="s">
        <v>4623</v>
      </c>
      <c r="O68" s="24" t="s">
        <v>747</v>
      </c>
      <c r="P68" s="24" t="s">
        <v>1345</v>
      </c>
      <c r="Q68" s="24" t="s">
        <v>621</v>
      </c>
      <c r="R68" s="24" t="s">
        <v>621</v>
      </c>
      <c r="S68" s="24" t="s">
        <v>621</v>
      </c>
    </row>
    <row r="69" spans="1:19" x14ac:dyDescent="0.25">
      <c r="A69" s="24" t="s">
        <v>1346</v>
      </c>
      <c r="B69" s="24" t="s">
        <v>4909</v>
      </c>
      <c r="C69" s="24" t="s">
        <v>1347</v>
      </c>
      <c r="D69" s="24" t="s">
        <v>1348</v>
      </c>
      <c r="E69" s="24" t="s">
        <v>4910</v>
      </c>
      <c r="F69" s="24" t="s">
        <v>4911</v>
      </c>
      <c r="G69" s="24" t="s">
        <v>4912</v>
      </c>
      <c r="H69" s="24" t="s">
        <v>1349</v>
      </c>
      <c r="I69" s="24" t="s">
        <v>1350</v>
      </c>
      <c r="J69" s="24" t="s">
        <v>1351</v>
      </c>
      <c r="K69" s="24" t="s">
        <v>1352</v>
      </c>
      <c r="L69" s="24" t="s">
        <v>4913</v>
      </c>
      <c r="M69" s="24" t="s">
        <v>621</v>
      </c>
      <c r="N69" s="24" t="s">
        <v>621</v>
      </c>
      <c r="O69" s="24" t="s">
        <v>621</v>
      </c>
      <c r="P69" s="24" t="s">
        <v>621</v>
      </c>
      <c r="Q69" s="24" t="s">
        <v>621</v>
      </c>
      <c r="R69" s="24" t="s">
        <v>621</v>
      </c>
      <c r="S69" s="24" t="s">
        <v>621</v>
      </c>
    </row>
    <row r="70" spans="1:19" x14ac:dyDescent="0.25">
      <c r="A70" s="24" t="s">
        <v>1353</v>
      </c>
      <c r="B70" s="24" t="s">
        <v>1354</v>
      </c>
      <c r="C70" s="24" t="s">
        <v>4914</v>
      </c>
      <c r="D70" s="24" t="s">
        <v>4915</v>
      </c>
      <c r="E70" s="24" t="s">
        <v>1129</v>
      </c>
      <c r="F70" s="24" t="s">
        <v>4916</v>
      </c>
      <c r="G70" s="24" t="s">
        <v>1355</v>
      </c>
      <c r="H70" s="24" t="s">
        <v>4917</v>
      </c>
      <c r="I70" s="24" t="s">
        <v>1356</v>
      </c>
      <c r="J70" s="24" t="s">
        <v>1357</v>
      </c>
      <c r="K70" s="24" t="s">
        <v>4918</v>
      </c>
      <c r="L70" s="24" t="s">
        <v>1358</v>
      </c>
      <c r="M70" s="24" t="s">
        <v>4919</v>
      </c>
      <c r="N70" s="24" t="s">
        <v>1359</v>
      </c>
      <c r="O70" s="24" t="s">
        <v>4920</v>
      </c>
      <c r="P70" s="24" t="s">
        <v>621</v>
      </c>
      <c r="Q70" s="24" t="s">
        <v>621</v>
      </c>
      <c r="R70" s="24" t="s">
        <v>621</v>
      </c>
      <c r="S70" s="24" t="s">
        <v>621</v>
      </c>
    </row>
    <row r="71" spans="1:19" x14ac:dyDescent="0.25">
      <c r="A71" s="24" t="s">
        <v>663</v>
      </c>
      <c r="B71" s="24" t="s">
        <v>1360</v>
      </c>
      <c r="C71" s="24" t="s">
        <v>4921</v>
      </c>
      <c r="D71" s="24" t="s">
        <v>1361</v>
      </c>
      <c r="E71" s="24" t="s">
        <v>4682</v>
      </c>
      <c r="F71" s="24" t="s">
        <v>1362</v>
      </c>
      <c r="G71" s="24" t="s">
        <v>1363</v>
      </c>
      <c r="H71" s="24" t="s">
        <v>4922</v>
      </c>
      <c r="I71" s="24" t="s">
        <v>921</v>
      </c>
      <c r="J71" s="24" t="s">
        <v>4684</v>
      </c>
      <c r="K71" s="24" t="s">
        <v>4685</v>
      </c>
      <c r="L71" s="24" t="s">
        <v>1364</v>
      </c>
      <c r="M71" s="24" t="s">
        <v>4923</v>
      </c>
      <c r="N71" s="24" t="s">
        <v>4924</v>
      </c>
      <c r="O71" s="24" t="s">
        <v>1001</v>
      </c>
      <c r="P71" s="24" t="s">
        <v>621</v>
      </c>
      <c r="Q71" s="24" t="s">
        <v>621</v>
      </c>
      <c r="R71" s="24" t="s">
        <v>621</v>
      </c>
      <c r="S71" s="24" t="s">
        <v>621</v>
      </c>
    </row>
    <row r="72" spans="1:19" x14ac:dyDescent="0.25">
      <c r="A72" s="24" t="s">
        <v>664</v>
      </c>
      <c r="B72" s="24" t="s">
        <v>4925</v>
      </c>
      <c r="C72" s="24" t="s">
        <v>1365</v>
      </c>
      <c r="D72" s="24" t="s">
        <v>1366</v>
      </c>
      <c r="E72" s="24" t="s">
        <v>1367</v>
      </c>
      <c r="F72" s="24" t="s">
        <v>4926</v>
      </c>
      <c r="G72" s="24" t="s">
        <v>4927</v>
      </c>
      <c r="H72" s="24" t="s">
        <v>4928</v>
      </c>
      <c r="I72" s="24" t="s">
        <v>1368</v>
      </c>
      <c r="J72" s="24" t="s">
        <v>1369</v>
      </c>
      <c r="K72" s="24" t="s">
        <v>4929</v>
      </c>
      <c r="L72" s="24" t="s">
        <v>4930</v>
      </c>
      <c r="M72" s="24" t="s">
        <v>4931</v>
      </c>
      <c r="N72" s="24" t="s">
        <v>4932</v>
      </c>
      <c r="O72" s="24" t="s">
        <v>4933</v>
      </c>
      <c r="P72" s="24" t="s">
        <v>621</v>
      </c>
      <c r="Q72" s="24" t="s">
        <v>621</v>
      </c>
      <c r="R72" s="24" t="s">
        <v>621</v>
      </c>
      <c r="S72" s="24" t="s">
        <v>621</v>
      </c>
    </row>
    <row r="73" spans="1:19" x14ac:dyDescent="0.25">
      <c r="A73" s="24" t="s">
        <v>665</v>
      </c>
      <c r="B73" s="24" t="s">
        <v>4934</v>
      </c>
      <c r="C73" s="24" t="s">
        <v>4935</v>
      </c>
      <c r="D73" s="24" t="s">
        <v>1370</v>
      </c>
      <c r="E73" s="24" t="s">
        <v>4936</v>
      </c>
      <c r="F73" s="24" t="s">
        <v>1371</v>
      </c>
      <c r="G73" s="24" t="s">
        <v>1372</v>
      </c>
      <c r="H73" s="24" t="s">
        <v>4937</v>
      </c>
      <c r="I73" s="24" t="s">
        <v>4715</v>
      </c>
      <c r="J73" s="24" t="s">
        <v>4716</v>
      </c>
      <c r="K73" s="24" t="s">
        <v>4938</v>
      </c>
      <c r="L73" s="24" t="s">
        <v>4939</v>
      </c>
      <c r="M73" s="24" t="s">
        <v>1373</v>
      </c>
      <c r="N73" s="24" t="s">
        <v>4940</v>
      </c>
      <c r="O73" s="24" t="s">
        <v>621</v>
      </c>
      <c r="P73" s="24" t="s">
        <v>621</v>
      </c>
      <c r="Q73" s="24" t="s">
        <v>621</v>
      </c>
      <c r="R73" s="24" t="s">
        <v>621</v>
      </c>
      <c r="S73" s="24" t="s">
        <v>621</v>
      </c>
    </row>
    <row r="74" spans="1:19" x14ac:dyDescent="0.25">
      <c r="A74" s="24" t="s">
        <v>1374</v>
      </c>
      <c r="B74" s="24" t="s">
        <v>4941</v>
      </c>
      <c r="C74" s="24" t="s">
        <v>4942</v>
      </c>
      <c r="D74" s="24" t="s">
        <v>4943</v>
      </c>
      <c r="E74" s="24" t="s">
        <v>1375</v>
      </c>
      <c r="F74" s="24" t="s">
        <v>1376</v>
      </c>
      <c r="G74" s="24" t="s">
        <v>4944</v>
      </c>
      <c r="H74" s="24" t="s">
        <v>4945</v>
      </c>
      <c r="I74" s="24" t="s">
        <v>4946</v>
      </c>
      <c r="J74" s="24" t="s">
        <v>4947</v>
      </c>
      <c r="K74" s="24" t="s">
        <v>1377</v>
      </c>
      <c r="L74" s="24" t="s">
        <v>4948</v>
      </c>
      <c r="M74" s="24" t="s">
        <v>4949</v>
      </c>
      <c r="N74" s="24" t="s">
        <v>621</v>
      </c>
      <c r="O74" s="24" t="s">
        <v>621</v>
      </c>
      <c r="P74" s="24" t="s">
        <v>621</v>
      </c>
      <c r="Q74" s="24" t="s">
        <v>621</v>
      </c>
      <c r="R74" s="24" t="s">
        <v>621</v>
      </c>
      <c r="S74" s="24" t="s">
        <v>621</v>
      </c>
    </row>
    <row r="75" spans="1:19" x14ac:dyDescent="0.25">
      <c r="A75" s="24" t="s">
        <v>666</v>
      </c>
      <c r="B75" s="24" t="s">
        <v>4950</v>
      </c>
      <c r="C75" s="24" t="s">
        <v>1378</v>
      </c>
      <c r="D75" s="24" t="s">
        <v>4951</v>
      </c>
      <c r="E75" s="24" t="s">
        <v>1379</v>
      </c>
      <c r="F75" s="24" t="s">
        <v>1380</v>
      </c>
      <c r="G75" s="24" t="s">
        <v>1381</v>
      </c>
      <c r="H75" s="24" t="s">
        <v>1382</v>
      </c>
      <c r="I75" s="24" t="s">
        <v>4952</v>
      </c>
      <c r="J75" s="24" t="s">
        <v>1383</v>
      </c>
      <c r="K75" s="24" t="s">
        <v>1384</v>
      </c>
      <c r="L75" s="24" t="s">
        <v>1385</v>
      </c>
      <c r="M75" s="24" t="s">
        <v>1386</v>
      </c>
      <c r="N75" s="24" t="s">
        <v>1387</v>
      </c>
      <c r="O75" s="24" t="s">
        <v>1388</v>
      </c>
      <c r="P75" s="24" t="s">
        <v>621</v>
      </c>
      <c r="Q75" s="24" t="s">
        <v>621</v>
      </c>
      <c r="R75" s="24" t="s">
        <v>621</v>
      </c>
      <c r="S75" s="24" t="s">
        <v>621</v>
      </c>
    </row>
    <row r="76" spans="1:19" x14ac:dyDescent="0.25">
      <c r="A76" s="24" t="s">
        <v>667</v>
      </c>
      <c r="B76" s="24" t="s">
        <v>1389</v>
      </c>
      <c r="C76" s="24" t="s">
        <v>1390</v>
      </c>
      <c r="D76" s="24" t="s">
        <v>4953</v>
      </c>
      <c r="E76" s="24" t="s">
        <v>1391</v>
      </c>
      <c r="F76" s="24" t="s">
        <v>1392</v>
      </c>
      <c r="G76" s="24" t="s">
        <v>1393</v>
      </c>
      <c r="H76" s="24" t="s">
        <v>4954</v>
      </c>
      <c r="I76" s="24" t="s">
        <v>905</v>
      </c>
      <c r="J76" s="24" t="s">
        <v>1394</v>
      </c>
      <c r="K76" s="24" t="s">
        <v>4955</v>
      </c>
      <c r="L76" s="24" t="s">
        <v>4956</v>
      </c>
      <c r="M76" s="24" t="s">
        <v>4957</v>
      </c>
      <c r="N76" s="24" t="s">
        <v>1395</v>
      </c>
      <c r="O76" s="24" t="s">
        <v>621</v>
      </c>
      <c r="P76" s="24" t="s">
        <v>621</v>
      </c>
      <c r="Q76" s="24" t="s">
        <v>621</v>
      </c>
      <c r="R76" s="24" t="s">
        <v>621</v>
      </c>
      <c r="S76" s="24" t="s">
        <v>621</v>
      </c>
    </row>
    <row r="77" spans="1:19" x14ac:dyDescent="0.25">
      <c r="A77" s="24" t="s">
        <v>1396</v>
      </c>
      <c r="B77" s="24" t="s">
        <v>1021</v>
      </c>
      <c r="C77" s="24" t="s">
        <v>4958</v>
      </c>
      <c r="D77" s="24" t="s">
        <v>4959</v>
      </c>
      <c r="E77" s="24" t="s">
        <v>1397</v>
      </c>
      <c r="F77" s="24" t="s">
        <v>1398</v>
      </c>
      <c r="G77" s="24" t="s">
        <v>1399</v>
      </c>
      <c r="H77" s="24" t="s">
        <v>1400</v>
      </c>
      <c r="I77" s="24" t="s">
        <v>4960</v>
      </c>
      <c r="J77" s="24" t="s">
        <v>4961</v>
      </c>
      <c r="K77" s="24" t="s">
        <v>4962</v>
      </c>
      <c r="L77" s="24" t="s">
        <v>4963</v>
      </c>
      <c r="M77" s="24" t="s">
        <v>4964</v>
      </c>
      <c r="N77" s="24" t="s">
        <v>621</v>
      </c>
      <c r="O77" s="24" t="s">
        <v>621</v>
      </c>
      <c r="P77" s="24" t="s">
        <v>621</v>
      </c>
      <c r="Q77" s="24" t="s">
        <v>621</v>
      </c>
      <c r="R77" s="24" t="s">
        <v>621</v>
      </c>
      <c r="S77" s="24" t="s">
        <v>621</v>
      </c>
    </row>
    <row r="78" spans="1:19" x14ac:dyDescent="0.25">
      <c r="A78" s="24" t="s">
        <v>1401</v>
      </c>
      <c r="B78" s="24" t="s">
        <v>1118</v>
      </c>
      <c r="C78" s="24" t="s">
        <v>1402</v>
      </c>
      <c r="D78" s="24" t="s">
        <v>1403</v>
      </c>
      <c r="E78" s="24" t="s">
        <v>1404</v>
      </c>
      <c r="F78" s="24" t="s">
        <v>4749</v>
      </c>
      <c r="G78" s="24" t="s">
        <v>1405</v>
      </c>
      <c r="H78" s="24" t="s">
        <v>4965</v>
      </c>
      <c r="I78" s="24" t="s">
        <v>4966</v>
      </c>
      <c r="J78" s="24" t="s">
        <v>4967</v>
      </c>
      <c r="K78" s="24" t="s">
        <v>4968</v>
      </c>
      <c r="L78" s="24" t="s">
        <v>4969</v>
      </c>
      <c r="M78" s="24" t="s">
        <v>773</v>
      </c>
      <c r="N78" s="24" t="s">
        <v>1406</v>
      </c>
      <c r="O78" s="24" t="s">
        <v>621</v>
      </c>
      <c r="P78" s="24" t="s">
        <v>621</v>
      </c>
      <c r="Q78" s="24" t="s">
        <v>621</v>
      </c>
      <c r="R78" s="24" t="s">
        <v>621</v>
      </c>
      <c r="S78" s="24" t="s">
        <v>621</v>
      </c>
    </row>
    <row r="79" spans="1:19" x14ac:dyDescent="0.25">
      <c r="A79" s="24" t="s">
        <v>1407</v>
      </c>
      <c r="B79" s="24" t="s">
        <v>1408</v>
      </c>
      <c r="C79" s="24" t="s">
        <v>1409</v>
      </c>
      <c r="D79" s="24" t="s">
        <v>1410</v>
      </c>
      <c r="E79" s="24" t="s">
        <v>1411</v>
      </c>
      <c r="F79" s="24" t="s">
        <v>905</v>
      </c>
      <c r="G79" s="24" t="s">
        <v>4706</v>
      </c>
      <c r="H79" s="24" t="s">
        <v>1412</v>
      </c>
      <c r="I79" s="24" t="s">
        <v>1413</v>
      </c>
      <c r="J79" s="24" t="s">
        <v>793</v>
      </c>
      <c r="K79" s="24" t="s">
        <v>4970</v>
      </c>
      <c r="L79" s="24" t="s">
        <v>4971</v>
      </c>
      <c r="M79" s="24" t="s">
        <v>1414</v>
      </c>
      <c r="N79" s="24" t="s">
        <v>621</v>
      </c>
      <c r="O79" s="24" t="s">
        <v>621</v>
      </c>
      <c r="P79" s="24" t="s">
        <v>621</v>
      </c>
      <c r="Q79" s="24" t="s">
        <v>621</v>
      </c>
      <c r="R79" s="24" t="s">
        <v>621</v>
      </c>
      <c r="S79" s="24" t="s">
        <v>621</v>
      </c>
    </row>
    <row r="80" spans="1:19" x14ac:dyDescent="0.25">
      <c r="A80" s="24" t="s">
        <v>1415</v>
      </c>
      <c r="B80" s="24" t="s">
        <v>1416</v>
      </c>
      <c r="C80" s="24" t="s">
        <v>1417</v>
      </c>
      <c r="D80" s="24" t="s">
        <v>1418</v>
      </c>
      <c r="E80" s="24" t="s">
        <v>1419</v>
      </c>
      <c r="F80" s="24" t="s">
        <v>1420</v>
      </c>
      <c r="G80" s="24" t="s">
        <v>1421</v>
      </c>
      <c r="H80" s="24" t="s">
        <v>1422</v>
      </c>
      <c r="I80" s="24" t="s">
        <v>1423</v>
      </c>
      <c r="J80" s="24" t="s">
        <v>1424</v>
      </c>
      <c r="K80" s="24" t="s">
        <v>1425</v>
      </c>
      <c r="L80" s="24" t="s">
        <v>1426</v>
      </c>
      <c r="M80" s="24" t="s">
        <v>1427</v>
      </c>
      <c r="N80" s="24" t="s">
        <v>621</v>
      </c>
      <c r="O80" s="24" t="s">
        <v>621</v>
      </c>
      <c r="P80" s="24" t="s">
        <v>621</v>
      </c>
      <c r="Q80" s="24" t="s">
        <v>621</v>
      </c>
      <c r="R80" s="24" t="s">
        <v>621</v>
      </c>
      <c r="S80" s="24" t="s">
        <v>621</v>
      </c>
    </row>
    <row r="81" spans="1:19" x14ac:dyDescent="0.25">
      <c r="A81" s="24" t="s">
        <v>668</v>
      </c>
      <c r="B81" s="24" t="s">
        <v>4972</v>
      </c>
      <c r="C81" s="24" t="s">
        <v>4973</v>
      </c>
      <c r="D81" s="24" t="s">
        <v>1428</v>
      </c>
      <c r="E81" s="24" t="s">
        <v>1429</v>
      </c>
      <c r="F81" s="24" t="s">
        <v>1430</v>
      </c>
      <c r="G81" s="24" t="s">
        <v>4974</v>
      </c>
      <c r="H81" s="24" t="s">
        <v>4975</v>
      </c>
      <c r="I81" s="24" t="s">
        <v>1431</v>
      </c>
      <c r="J81" s="24" t="s">
        <v>4976</v>
      </c>
      <c r="K81" s="24" t="s">
        <v>4977</v>
      </c>
      <c r="L81" s="24" t="s">
        <v>4978</v>
      </c>
      <c r="M81" s="24" t="s">
        <v>621</v>
      </c>
      <c r="N81" s="24" t="s">
        <v>621</v>
      </c>
      <c r="O81" s="24" t="s">
        <v>621</v>
      </c>
      <c r="P81" s="24" t="s">
        <v>621</v>
      </c>
      <c r="Q81" s="24" t="s">
        <v>621</v>
      </c>
      <c r="R81" s="24" t="s">
        <v>621</v>
      </c>
      <c r="S81" s="24" t="s">
        <v>621</v>
      </c>
    </row>
    <row r="82" spans="1:19" x14ac:dyDescent="0.25">
      <c r="A82" s="24" t="s">
        <v>669</v>
      </c>
      <c r="B82" s="24" t="s">
        <v>4979</v>
      </c>
      <c r="C82" s="24" t="s">
        <v>4626</v>
      </c>
      <c r="D82" s="24" t="s">
        <v>1432</v>
      </c>
      <c r="E82" s="24" t="s">
        <v>1433</v>
      </c>
      <c r="F82" s="24" t="s">
        <v>1434</v>
      </c>
      <c r="G82" s="24" t="s">
        <v>1435</v>
      </c>
      <c r="H82" s="24" t="s">
        <v>921</v>
      </c>
      <c r="I82" s="24" t="s">
        <v>4980</v>
      </c>
      <c r="J82" s="24" t="s">
        <v>4981</v>
      </c>
      <c r="K82" s="24" t="s">
        <v>4627</v>
      </c>
      <c r="L82" s="24" t="s">
        <v>4982</v>
      </c>
      <c r="M82" s="24" t="s">
        <v>1436</v>
      </c>
      <c r="N82" s="24" t="s">
        <v>621</v>
      </c>
      <c r="O82" s="24" t="s">
        <v>621</v>
      </c>
      <c r="P82" s="24" t="s">
        <v>621</v>
      </c>
      <c r="Q82" s="24" t="s">
        <v>621</v>
      </c>
      <c r="R82" s="24" t="s">
        <v>621</v>
      </c>
      <c r="S82" s="24" t="s">
        <v>621</v>
      </c>
    </row>
    <row r="83" spans="1:19" x14ac:dyDescent="0.25">
      <c r="A83" s="24" t="s">
        <v>670</v>
      </c>
      <c r="B83" s="24" t="s">
        <v>1437</v>
      </c>
      <c r="C83" s="24" t="s">
        <v>1438</v>
      </c>
      <c r="D83" s="24" t="s">
        <v>1439</v>
      </c>
      <c r="E83" s="24" t="s">
        <v>4715</v>
      </c>
      <c r="F83" s="24" t="s">
        <v>4983</v>
      </c>
      <c r="G83" s="24" t="s">
        <v>4717</v>
      </c>
      <c r="H83" s="24" t="s">
        <v>4984</v>
      </c>
      <c r="I83" s="24" t="s">
        <v>4985</v>
      </c>
      <c r="J83" s="24" t="s">
        <v>4986</v>
      </c>
      <c r="K83" s="24" t="s">
        <v>4987</v>
      </c>
      <c r="L83" s="24" t="s">
        <v>621</v>
      </c>
      <c r="M83" s="24" t="s">
        <v>621</v>
      </c>
      <c r="N83" s="24" t="s">
        <v>621</v>
      </c>
      <c r="O83" s="24" t="s">
        <v>621</v>
      </c>
      <c r="P83" s="24" t="s">
        <v>621</v>
      </c>
      <c r="Q83" s="24" t="s">
        <v>621</v>
      </c>
      <c r="R83" s="24" t="s">
        <v>621</v>
      </c>
      <c r="S83" s="24" t="s">
        <v>621</v>
      </c>
    </row>
    <row r="84" spans="1:19" x14ac:dyDescent="0.25">
      <c r="A84" s="24" t="s">
        <v>671</v>
      </c>
      <c r="B84" s="24" t="s">
        <v>4988</v>
      </c>
      <c r="C84" s="24" t="s">
        <v>4989</v>
      </c>
      <c r="D84" s="24" t="s">
        <v>1440</v>
      </c>
      <c r="E84" s="24" t="s">
        <v>1441</v>
      </c>
      <c r="F84" s="24" t="s">
        <v>1442</v>
      </c>
      <c r="G84" s="24" t="s">
        <v>4937</v>
      </c>
      <c r="H84" s="24" t="s">
        <v>4990</v>
      </c>
      <c r="I84" s="24" t="s">
        <v>4991</v>
      </c>
      <c r="J84" s="24" t="s">
        <v>4938</v>
      </c>
      <c r="K84" s="24" t="s">
        <v>4939</v>
      </c>
      <c r="L84" s="24" t="s">
        <v>1443</v>
      </c>
      <c r="M84" s="24" t="s">
        <v>4860</v>
      </c>
      <c r="N84" s="24" t="s">
        <v>621</v>
      </c>
      <c r="O84" s="24" t="s">
        <v>621</v>
      </c>
      <c r="P84" s="24" t="s">
        <v>621</v>
      </c>
      <c r="Q84" s="24" t="s">
        <v>621</v>
      </c>
      <c r="R84" s="24" t="s">
        <v>621</v>
      </c>
      <c r="S84" s="24" t="s">
        <v>621</v>
      </c>
    </row>
    <row r="85" spans="1:19" x14ac:dyDescent="0.25">
      <c r="A85" s="24" t="s">
        <v>672</v>
      </c>
      <c r="B85" s="24" t="s">
        <v>4992</v>
      </c>
      <c r="C85" s="24" t="s">
        <v>4993</v>
      </c>
      <c r="D85" s="24" t="s">
        <v>4994</v>
      </c>
      <c r="E85" s="24" t="s">
        <v>1444</v>
      </c>
      <c r="F85" s="24" t="s">
        <v>1445</v>
      </c>
      <c r="G85" s="24" t="s">
        <v>1446</v>
      </c>
      <c r="H85" s="24" t="s">
        <v>1447</v>
      </c>
      <c r="I85" s="24" t="s">
        <v>1448</v>
      </c>
      <c r="J85" s="24" t="s">
        <v>4995</v>
      </c>
      <c r="K85" s="24" t="s">
        <v>4996</v>
      </c>
      <c r="L85" s="24" t="s">
        <v>4997</v>
      </c>
      <c r="M85" s="24" t="s">
        <v>4998</v>
      </c>
      <c r="N85" s="24" t="s">
        <v>1449</v>
      </c>
      <c r="O85" s="24" t="s">
        <v>621</v>
      </c>
      <c r="P85" s="24" t="s">
        <v>621</v>
      </c>
      <c r="Q85" s="24" t="s">
        <v>621</v>
      </c>
      <c r="R85" s="24" t="s">
        <v>621</v>
      </c>
      <c r="S85" s="24" t="s">
        <v>621</v>
      </c>
    </row>
    <row r="86" spans="1:19" x14ac:dyDescent="0.25">
      <c r="A86" s="24" t="s">
        <v>1450</v>
      </c>
      <c r="B86" s="24" t="s">
        <v>1451</v>
      </c>
      <c r="C86" s="24" t="s">
        <v>1452</v>
      </c>
      <c r="D86" s="24" t="s">
        <v>1453</v>
      </c>
      <c r="E86" s="24" t="s">
        <v>1454</v>
      </c>
      <c r="F86" s="24" t="s">
        <v>1455</v>
      </c>
      <c r="G86" s="24" t="s">
        <v>1456</v>
      </c>
      <c r="H86" s="24" t="s">
        <v>1457</v>
      </c>
      <c r="I86" s="24" t="s">
        <v>1458</v>
      </c>
      <c r="J86" s="24" t="s">
        <v>747</v>
      </c>
      <c r="K86" s="24" t="s">
        <v>1459</v>
      </c>
      <c r="L86" s="24" t="s">
        <v>1460</v>
      </c>
      <c r="M86" s="24" t="s">
        <v>1461</v>
      </c>
      <c r="N86" s="24" t="s">
        <v>1462</v>
      </c>
      <c r="O86" s="24" t="s">
        <v>1463</v>
      </c>
      <c r="P86" s="24" t="s">
        <v>621</v>
      </c>
      <c r="Q86" s="24" t="s">
        <v>621</v>
      </c>
      <c r="R86" s="24" t="s">
        <v>621</v>
      </c>
      <c r="S86" s="24" t="s">
        <v>621</v>
      </c>
    </row>
    <row r="87" spans="1:19" x14ac:dyDescent="0.25">
      <c r="A87" s="24" t="s">
        <v>1464</v>
      </c>
      <c r="B87" s="24" t="s">
        <v>1465</v>
      </c>
      <c r="C87" s="24" t="s">
        <v>1466</v>
      </c>
      <c r="D87" s="24" t="s">
        <v>1467</v>
      </c>
      <c r="E87" s="24" t="s">
        <v>1468</v>
      </c>
      <c r="F87" s="24" t="s">
        <v>1469</v>
      </c>
      <c r="G87" s="24" t="s">
        <v>4999</v>
      </c>
      <c r="H87" s="24" t="s">
        <v>5000</v>
      </c>
      <c r="I87" s="24" t="s">
        <v>5001</v>
      </c>
      <c r="J87" s="24" t="s">
        <v>5002</v>
      </c>
      <c r="K87" s="24" t="s">
        <v>5003</v>
      </c>
      <c r="L87" s="24" t="s">
        <v>1470</v>
      </c>
      <c r="M87" s="24" t="s">
        <v>5004</v>
      </c>
      <c r="N87" s="24" t="s">
        <v>5005</v>
      </c>
      <c r="O87" s="24" t="s">
        <v>5006</v>
      </c>
      <c r="P87" s="24" t="s">
        <v>621</v>
      </c>
      <c r="Q87" s="24" t="s">
        <v>621</v>
      </c>
      <c r="R87" s="24" t="s">
        <v>621</v>
      </c>
      <c r="S87" s="24" t="s">
        <v>621</v>
      </c>
    </row>
    <row r="88" spans="1:19" x14ac:dyDescent="0.25">
      <c r="A88" s="24" t="s">
        <v>673</v>
      </c>
      <c r="B88" s="24" t="s">
        <v>4992</v>
      </c>
      <c r="C88" s="24" t="s">
        <v>4994</v>
      </c>
      <c r="D88" s="24" t="s">
        <v>1471</v>
      </c>
      <c r="E88" s="24" t="s">
        <v>1472</v>
      </c>
      <c r="F88" s="24" t="s">
        <v>1473</v>
      </c>
      <c r="G88" s="24" t="s">
        <v>5007</v>
      </c>
      <c r="H88" s="24" t="s">
        <v>5008</v>
      </c>
      <c r="I88" s="24" t="s">
        <v>4996</v>
      </c>
      <c r="J88" s="24" t="s">
        <v>5009</v>
      </c>
      <c r="K88" s="24" t="s">
        <v>5010</v>
      </c>
      <c r="L88" s="24" t="s">
        <v>4997</v>
      </c>
      <c r="M88" s="24" t="s">
        <v>1474</v>
      </c>
      <c r="N88" s="24" t="s">
        <v>621</v>
      </c>
      <c r="O88" s="24" t="s">
        <v>621</v>
      </c>
      <c r="P88" s="24" t="s">
        <v>621</v>
      </c>
      <c r="Q88" s="24" t="s">
        <v>621</v>
      </c>
      <c r="R88" s="24" t="s">
        <v>621</v>
      </c>
      <c r="S88" s="24" t="s">
        <v>621</v>
      </c>
    </row>
    <row r="89" spans="1:19" x14ac:dyDescent="0.25">
      <c r="A89" s="24" t="s">
        <v>1475</v>
      </c>
      <c r="B89" s="24" t="s">
        <v>1476</v>
      </c>
      <c r="C89" s="24" t="s">
        <v>1477</v>
      </c>
      <c r="D89" s="24" t="s">
        <v>1478</v>
      </c>
      <c r="E89" s="24" t="s">
        <v>1479</v>
      </c>
      <c r="F89" s="24" t="s">
        <v>1480</v>
      </c>
      <c r="G89" s="24" t="s">
        <v>621</v>
      </c>
      <c r="H89" s="24" t="s">
        <v>621</v>
      </c>
      <c r="I89" s="24" t="s">
        <v>621</v>
      </c>
      <c r="J89" s="24" t="s">
        <v>621</v>
      </c>
      <c r="K89" s="24" t="s">
        <v>621</v>
      </c>
      <c r="L89" s="24" t="s">
        <v>621</v>
      </c>
      <c r="M89" s="24" t="s">
        <v>621</v>
      </c>
      <c r="N89" s="24" t="s">
        <v>621</v>
      </c>
      <c r="O89" s="24" t="s">
        <v>621</v>
      </c>
      <c r="P89" s="24" t="s">
        <v>621</v>
      </c>
      <c r="Q89" s="24" t="s">
        <v>621</v>
      </c>
      <c r="R89" s="24" t="s">
        <v>621</v>
      </c>
      <c r="S89" s="24" t="s">
        <v>621</v>
      </c>
    </row>
    <row r="90" spans="1:19" x14ac:dyDescent="0.25">
      <c r="A90" s="24" t="s">
        <v>1481</v>
      </c>
      <c r="B90" s="24" t="s">
        <v>5011</v>
      </c>
      <c r="C90" s="24" t="s">
        <v>5012</v>
      </c>
      <c r="D90" s="24" t="s">
        <v>5013</v>
      </c>
      <c r="E90" s="24" t="s">
        <v>5014</v>
      </c>
      <c r="F90" s="24" t="s">
        <v>5015</v>
      </c>
      <c r="G90" s="24" t="s">
        <v>1482</v>
      </c>
      <c r="H90" s="24" t="s">
        <v>1483</v>
      </c>
      <c r="I90" s="24" t="s">
        <v>1484</v>
      </c>
      <c r="J90" s="24" t="s">
        <v>4673</v>
      </c>
      <c r="K90" s="24" t="s">
        <v>5016</v>
      </c>
      <c r="L90" s="24" t="s">
        <v>621</v>
      </c>
      <c r="M90" s="24" t="s">
        <v>621</v>
      </c>
      <c r="N90" s="24" t="s">
        <v>621</v>
      </c>
      <c r="O90" s="24" t="s">
        <v>621</v>
      </c>
      <c r="P90" s="24" t="s">
        <v>621</v>
      </c>
      <c r="Q90" s="24" t="s">
        <v>621</v>
      </c>
      <c r="R90" s="24" t="s">
        <v>621</v>
      </c>
      <c r="S90" s="24" t="s">
        <v>621</v>
      </c>
    </row>
    <row r="91" spans="1:19" x14ac:dyDescent="0.25">
      <c r="A91" s="24" t="s">
        <v>1485</v>
      </c>
      <c r="B91" s="24" t="s">
        <v>1486</v>
      </c>
      <c r="C91" s="24" t="s">
        <v>1487</v>
      </c>
      <c r="D91" s="24" t="s">
        <v>1488</v>
      </c>
      <c r="E91" s="24" t="s">
        <v>1489</v>
      </c>
      <c r="F91" s="24" t="s">
        <v>1490</v>
      </c>
      <c r="G91" s="24" t="s">
        <v>1491</v>
      </c>
      <c r="H91" s="24" t="s">
        <v>1492</v>
      </c>
      <c r="I91" s="24" t="s">
        <v>621</v>
      </c>
      <c r="J91" s="24" t="s">
        <v>621</v>
      </c>
      <c r="K91" s="24" t="s">
        <v>621</v>
      </c>
      <c r="L91" s="24" t="s">
        <v>621</v>
      </c>
      <c r="M91" s="24" t="s">
        <v>621</v>
      </c>
      <c r="N91" s="24" t="s">
        <v>621</v>
      </c>
      <c r="O91" s="24" t="s">
        <v>621</v>
      </c>
      <c r="P91" s="24" t="s">
        <v>621</v>
      </c>
      <c r="Q91" s="24" t="s">
        <v>621</v>
      </c>
      <c r="R91" s="24" t="s">
        <v>621</v>
      </c>
      <c r="S91" s="24" t="s">
        <v>621</v>
      </c>
    </row>
    <row r="92" spans="1:19" x14ac:dyDescent="0.25">
      <c r="A92" s="24" t="s">
        <v>674</v>
      </c>
      <c r="B92" s="24" t="s">
        <v>5017</v>
      </c>
      <c r="C92" s="24" t="s">
        <v>5018</v>
      </c>
      <c r="D92" s="24" t="s">
        <v>5019</v>
      </c>
      <c r="E92" s="24" t="s">
        <v>1493</v>
      </c>
      <c r="F92" s="24" t="s">
        <v>1494</v>
      </c>
      <c r="G92" s="24" t="s">
        <v>1495</v>
      </c>
      <c r="H92" s="24" t="s">
        <v>4872</v>
      </c>
      <c r="I92" s="24" t="s">
        <v>5020</v>
      </c>
      <c r="J92" s="24" t="s">
        <v>4874</v>
      </c>
      <c r="K92" s="24" t="s">
        <v>5021</v>
      </c>
      <c r="L92" s="24" t="s">
        <v>1496</v>
      </c>
      <c r="M92" s="24" t="s">
        <v>5022</v>
      </c>
      <c r="N92" s="24" t="s">
        <v>621</v>
      </c>
      <c r="O92" s="24" t="s">
        <v>621</v>
      </c>
      <c r="P92" s="24" t="s">
        <v>621</v>
      </c>
      <c r="Q92" s="24" t="s">
        <v>621</v>
      </c>
      <c r="R92" s="24" t="s">
        <v>621</v>
      </c>
      <c r="S92" s="24" t="s">
        <v>621</v>
      </c>
    </row>
    <row r="93" spans="1:19" x14ac:dyDescent="0.25">
      <c r="A93" s="24" t="s">
        <v>675</v>
      </c>
      <c r="B93" s="24" t="s">
        <v>5023</v>
      </c>
      <c r="C93" s="24" t="s">
        <v>1497</v>
      </c>
      <c r="D93" s="24" t="s">
        <v>1498</v>
      </c>
      <c r="E93" s="24" t="s">
        <v>1499</v>
      </c>
      <c r="F93" s="24" t="s">
        <v>5024</v>
      </c>
      <c r="G93" s="24" t="s">
        <v>5025</v>
      </c>
      <c r="H93" s="24" t="s">
        <v>5026</v>
      </c>
      <c r="I93" s="24" t="s">
        <v>5027</v>
      </c>
      <c r="J93" s="24" t="s">
        <v>4839</v>
      </c>
      <c r="K93" s="24" t="s">
        <v>5028</v>
      </c>
      <c r="L93" s="24" t="s">
        <v>5029</v>
      </c>
      <c r="M93" s="24" t="s">
        <v>621</v>
      </c>
      <c r="N93" s="24" t="s">
        <v>621</v>
      </c>
      <c r="O93" s="24" t="s">
        <v>621</v>
      </c>
      <c r="P93" s="24" t="s">
        <v>621</v>
      </c>
      <c r="Q93" s="24" t="s">
        <v>621</v>
      </c>
      <c r="R93" s="24" t="s">
        <v>621</v>
      </c>
      <c r="S93" s="24" t="s">
        <v>621</v>
      </c>
    </row>
    <row r="94" spans="1:19" x14ac:dyDescent="0.25">
      <c r="A94" s="24" t="s">
        <v>676</v>
      </c>
      <c r="B94" s="24" t="s">
        <v>1500</v>
      </c>
      <c r="C94" s="24" t="s">
        <v>1501</v>
      </c>
      <c r="D94" s="24" t="s">
        <v>1502</v>
      </c>
      <c r="E94" s="24" t="s">
        <v>1503</v>
      </c>
      <c r="F94" s="24" t="s">
        <v>5030</v>
      </c>
      <c r="G94" s="24" t="s">
        <v>5031</v>
      </c>
      <c r="H94" s="24" t="s">
        <v>5032</v>
      </c>
      <c r="I94" s="24" t="s">
        <v>4663</v>
      </c>
      <c r="J94" s="24" t="s">
        <v>5033</v>
      </c>
      <c r="K94" s="24" t="s">
        <v>5034</v>
      </c>
      <c r="L94" s="24" t="s">
        <v>5035</v>
      </c>
      <c r="M94" s="24" t="s">
        <v>621</v>
      </c>
      <c r="N94" s="24" t="s">
        <v>621</v>
      </c>
      <c r="O94" s="24" t="s">
        <v>621</v>
      </c>
      <c r="P94" s="24" t="s">
        <v>621</v>
      </c>
      <c r="Q94" s="24" t="s">
        <v>621</v>
      </c>
      <c r="R94" s="24" t="s">
        <v>621</v>
      </c>
      <c r="S94" s="24" t="s">
        <v>621</v>
      </c>
    </row>
    <row r="95" spans="1:19" x14ac:dyDescent="0.25">
      <c r="A95" s="24" t="s">
        <v>677</v>
      </c>
      <c r="B95" s="24" t="s">
        <v>1504</v>
      </c>
      <c r="C95" s="24" t="s">
        <v>1505</v>
      </c>
      <c r="D95" s="24" t="s">
        <v>1506</v>
      </c>
      <c r="E95" s="24" t="s">
        <v>1507</v>
      </c>
      <c r="F95" s="24" t="s">
        <v>5030</v>
      </c>
      <c r="G95" s="24" t="s">
        <v>5031</v>
      </c>
      <c r="H95" s="24" t="s">
        <v>5036</v>
      </c>
      <c r="I95" s="24" t="s">
        <v>5037</v>
      </c>
      <c r="J95" s="24" t="s">
        <v>5038</v>
      </c>
      <c r="K95" s="24" t="s">
        <v>5035</v>
      </c>
      <c r="L95" s="24" t="s">
        <v>621</v>
      </c>
      <c r="M95" s="24" t="s">
        <v>621</v>
      </c>
      <c r="N95" s="24" t="s">
        <v>621</v>
      </c>
      <c r="O95" s="24" t="s">
        <v>621</v>
      </c>
      <c r="P95" s="24" t="s">
        <v>621</v>
      </c>
      <c r="Q95" s="24" t="s">
        <v>621</v>
      </c>
      <c r="R95" s="24" t="s">
        <v>621</v>
      </c>
      <c r="S95" s="24" t="s">
        <v>621</v>
      </c>
    </row>
    <row r="96" spans="1:19" x14ac:dyDescent="0.25">
      <c r="A96" s="24" t="s">
        <v>678</v>
      </c>
      <c r="B96" s="24" t="s">
        <v>5039</v>
      </c>
      <c r="C96" s="24" t="s">
        <v>1508</v>
      </c>
      <c r="D96" s="24" t="s">
        <v>5040</v>
      </c>
      <c r="E96" s="24" t="s">
        <v>1509</v>
      </c>
      <c r="F96" s="24" t="s">
        <v>1510</v>
      </c>
      <c r="G96" s="24" t="s">
        <v>5041</v>
      </c>
      <c r="H96" s="24" t="s">
        <v>5042</v>
      </c>
      <c r="I96" s="24" t="s">
        <v>1511</v>
      </c>
      <c r="J96" s="24" t="s">
        <v>5043</v>
      </c>
      <c r="K96" s="24" t="s">
        <v>5044</v>
      </c>
      <c r="L96" s="24" t="s">
        <v>1512</v>
      </c>
      <c r="M96" s="24" t="s">
        <v>5045</v>
      </c>
      <c r="N96" s="24" t="s">
        <v>621</v>
      </c>
      <c r="O96" s="24" t="s">
        <v>621</v>
      </c>
      <c r="P96" s="24" t="s">
        <v>621</v>
      </c>
      <c r="Q96" s="24" t="s">
        <v>621</v>
      </c>
      <c r="R96" s="24" t="s">
        <v>621</v>
      </c>
      <c r="S96" s="24" t="s">
        <v>621</v>
      </c>
    </row>
    <row r="97" spans="1:19" x14ac:dyDescent="0.25">
      <c r="A97" s="24" t="s">
        <v>679</v>
      </c>
      <c r="B97" s="24" t="s">
        <v>5046</v>
      </c>
      <c r="C97" s="24" t="s">
        <v>5047</v>
      </c>
      <c r="D97" s="24" t="s">
        <v>5048</v>
      </c>
      <c r="E97" s="24" t="s">
        <v>5049</v>
      </c>
      <c r="F97" s="24" t="s">
        <v>5050</v>
      </c>
      <c r="G97" s="24" t="s">
        <v>1513</v>
      </c>
      <c r="H97" s="24" t="s">
        <v>5051</v>
      </c>
      <c r="I97" s="24" t="s">
        <v>5052</v>
      </c>
      <c r="J97" s="24" t="s">
        <v>1514</v>
      </c>
      <c r="K97" s="24" t="s">
        <v>1515</v>
      </c>
      <c r="L97" s="24" t="s">
        <v>4937</v>
      </c>
      <c r="M97" s="24" t="s">
        <v>4938</v>
      </c>
      <c r="N97" s="24" t="s">
        <v>5053</v>
      </c>
      <c r="O97" s="24" t="s">
        <v>621</v>
      </c>
      <c r="P97" s="24" t="s">
        <v>621</v>
      </c>
      <c r="Q97" s="24" t="s">
        <v>621</v>
      </c>
      <c r="R97" s="24" t="s">
        <v>621</v>
      </c>
      <c r="S97" s="24" t="s">
        <v>621</v>
      </c>
    </row>
    <row r="98" spans="1:19" x14ac:dyDescent="0.25">
      <c r="A98" s="24" t="s">
        <v>680</v>
      </c>
      <c r="B98" s="24" t="s">
        <v>5054</v>
      </c>
      <c r="C98" s="24" t="s">
        <v>5055</v>
      </c>
      <c r="D98" s="24" t="s">
        <v>5056</v>
      </c>
      <c r="E98" s="24" t="s">
        <v>5057</v>
      </c>
      <c r="F98" s="24" t="s">
        <v>1516</v>
      </c>
      <c r="G98" s="24" t="s">
        <v>5058</v>
      </c>
      <c r="H98" s="24" t="s">
        <v>1517</v>
      </c>
      <c r="I98" s="24" t="s">
        <v>1518</v>
      </c>
      <c r="J98" s="24" t="s">
        <v>5059</v>
      </c>
      <c r="K98" s="24" t="s">
        <v>4723</v>
      </c>
      <c r="L98" s="24" t="s">
        <v>4839</v>
      </c>
      <c r="M98" s="24" t="s">
        <v>4726</v>
      </c>
      <c r="N98" s="24" t="s">
        <v>5060</v>
      </c>
      <c r="O98" s="24" t="s">
        <v>621</v>
      </c>
      <c r="P98" s="24" t="s">
        <v>621</v>
      </c>
      <c r="Q98" s="24" t="s">
        <v>621</v>
      </c>
      <c r="R98" s="24" t="s">
        <v>621</v>
      </c>
      <c r="S98" s="24" t="s">
        <v>621</v>
      </c>
    </row>
    <row r="99" spans="1:19" x14ac:dyDescent="0.25">
      <c r="A99" s="24" t="s">
        <v>1519</v>
      </c>
      <c r="B99" s="24" t="s">
        <v>1520</v>
      </c>
      <c r="C99" s="24" t="s">
        <v>1521</v>
      </c>
      <c r="D99" s="24" t="s">
        <v>1522</v>
      </c>
      <c r="E99" s="24" t="s">
        <v>1523</v>
      </c>
      <c r="F99" s="24" t="s">
        <v>1524</v>
      </c>
      <c r="G99" s="24" t="s">
        <v>1525</v>
      </c>
      <c r="H99" s="24" t="s">
        <v>1526</v>
      </c>
      <c r="I99" s="24" t="s">
        <v>905</v>
      </c>
      <c r="J99" s="24" t="s">
        <v>1527</v>
      </c>
      <c r="K99" s="24" t="s">
        <v>1528</v>
      </c>
      <c r="L99" s="24" t="s">
        <v>1529</v>
      </c>
      <c r="M99" s="24" t="s">
        <v>1530</v>
      </c>
      <c r="N99" s="24" t="s">
        <v>1531</v>
      </c>
      <c r="O99" s="24" t="s">
        <v>621</v>
      </c>
      <c r="P99" s="24" t="s">
        <v>621</v>
      </c>
      <c r="Q99" s="24" t="s">
        <v>621</v>
      </c>
      <c r="R99" s="24" t="s">
        <v>621</v>
      </c>
      <c r="S99" s="24" t="s">
        <v>621</v>
      </c>
    </row>
    <row r="100" spans="1:19" x14ac:dyDescent="0.25">
      <c r="A100" s="24" t="s">
        <v>1532</v>
      </c>
      <c r="B100" s="24" t="s">
        <v>1533</v>
      </c>
      <c r="C100" s="24" t="s">
        <v>1534</v>
      </c>
      <c r="D100" s="24" t="s">
        <v>621</v>
      </c>
      <c r="E100" s="24" t="s">
        <v>621</v>
      </c>
      <c r="F100" s="24" t="s">
        <v>621</v>
      </c>
      <c r="G100" s="24" t="s">
        <v>621</v>
      </c>
      <c r="H100" s="24" t="s">
        <v>621</v>
      </c>
      <c r="I100" s="24" t="s">
        <v>621</v>
      </c>
      <c r="J100" s="24" t="s">
        <v>621</v>
      </c>
      <c r="K100" s="24" t="s">
        <v>621</v>
      </c>
      <c r="L100" s="24" t="s">
        <v>621</v>
      </c>
      <c r="M100" s="24" t="s">
        <v>621</v>
      </c>
      <c r="N100" s="24" t="s">
        <v>621</v>
      </c>
      <c r="O100" s="24" t="s">
        <v>621</v>
      </c>
      <c r="P100" s="24" t="s">
        <v>621</v>
      </c>
      <c r="Q100" s="24" t="s">
        <v>621</v>
      </c>
      <c r="R100" s="24" t="s">
        <v>621</v>
      </c>
      <c r="S100" s="24" t="s">
        <v>621</v>
      </c>
    </row>
    <row r="101" spans="1:19" x14ac:dyDescent="0.25">
      <c r="A101" s="24" t="s">
        <v>681</v>
      </c>
      <c r="B101" s="24" t="s">
        <v>5061</v>
      </c>
      <c r="C101" s="24" t="s">
        <v>5062</v>
      </c>
      <c r="D101" s="24" t="s">
        <v>5063</v>
      </c>
      <c r="E101" s="24" t="s">
        <v>1535</v>
      </c>
      <c r="F101" s="24" t="s">
        <v>5064</v>
      </c>
      <c r="G101" s="24" t="s">
        <v>4677</v>
      </c>
      <c r="H101" s="24" t="s">
        <v>1536</v>
      </c>
      <c r="I101" s="24" t="s">
        <v>1537</v>
      </c>
      <c r="J101" s="24" t="s">
        <v>5065</v>
      </c>
      <c r="K101" s="24" t="s">
        <v>4678</v>
      </c>
      <c r="L101" s="24" t="s">
        <v>1538</v>
      </c>
      <c r="M101" s="24" t="s">
        <v>4679</v>
      </c>
      <c r="N101" s="24" t="s">
        <v>5066</v>
      </c>
      <c r="O101" s="24" t="s">
        <v>621</v>
      </c>
      <c r="P101" s="24" t="s">
        <v>621</v>
      </c>
      <c r="Q101" s="24" t="s">
        <v>621</v>
      </c>
      <c r="R101" s="24" t="s">
        <v>621</v>
      </c>
      <c r="S101" s="24" t="s">
        <v>621</v>
      </c>
    </row>
    <row r="102" spans="1:19" x14ac:dyDescent="0.25">
      <c r="A102" s="24" t="s">
        <v>682</v>
      </c>
      <c r="B102" s="24" t="s">
        <v>5067</v>
      </c>
      <c r="C102" s="24" t="s">
        <v>1539</v>
      </c>
      <c r="D102" s="24" t="s">
        <v>5064</v>
      </c>
      <c r="E102" s="24" t="s">
        <v>4677</v>
      </c>
      <c r="F102" s="24" t="s">
        <v>1540</v>
      </c>
      <c r="G102" s="24" t="s">
        <v>1541</v>
      </c>
      <c r="H102" s="24" t="s">
        <v>5068</v>
      </c>
      <c r="I102" s="24" t="s">
        <v>5069</v>
      </c>
      <c r="J102" s="24" t="s">
        <v>5070</v>
      </c>
      <c r="K102" s="24" t="s">
        <v>4678</v>
      </c>
      <c r="L102" s="24" t="s">
        <v>1542</v>
      </c>
      <c r="M102" s="24" t="s">
        <v>4679</v>
      </c>
      <c r="N102" s="24" t="s">
        <v>5066</v>
      </c>
      <c r="O102" s="24" t="s">
        <v>621</v>
      </c>
      <c r="P102" s="24" t="s">
        <v>621</v>
      </c>
      <c r="Q102" s="24" t="s">
        <v>621</v>
      </c>
      <c r="R102" s="24" t="s">
        <v>621</v>
      </c>
      <c r="S102" s="24" t="s">
        <v>621</v>
      </c>
    </row>
    <row r="103" spans="1:19" x14ac:dyDescent="0.25">
      <c r="A103" s="24" t="s">
        <v>1543</v>
      </c>
      <c r="B103" s="24" t="s">
        <v>1544</v>
      </c>
      <c r="C103" s="24" t="s">
        <v>1545</v>
      </c>
      <c r="D103" s="24" t="s">
        <v>1546</v>
      </c>
      <c r="E103" s="24" t="s">
        <v>5071</v>
      </c>
      <c r="F103" s="24" t="s">
        <v>5072</v>
      </c>
      <c r="G103" s="24" t="s">
        <v>5073</v>
      </c>
      <c r="H103" s="24" t="s">
        <v>5074</v>
      </c>
      <c r="I103" s="24" t="s">
        <v>5075</v>
      </c>
      <c r="J103" s="24" t="s">
        <v>5076</v>
      </c>
      <c r="K103" s="24" t="s">
        <v>5077</v>
      </c>
      <c r="L103" s="24" t="s">
        <v>621</v>
      </c>
      <c r="M103" s="24" t="s">
        <v>621</v>
      </c>
      <c r="N103" s="24" t="s">
        <v>621</v>
      </c>
      <c r="O103" s="24" t="s">
        <v>621</v>
      </c>
      <c r="P103" s="24" t="s">
        <v>621</v>
      </c>
      <c r="Q103" s="24" t="s">
        <v>621</v>
      </c>
      <c r="R103" s="24" t="s">
        <v>621</v>
      </c>
      <c r="S103" s="24" t="s">
        <v>621</v>
      </c>
    </row>
    <row r="104" spans="1:19" x14ac:dyDescent="0.25">
      <c r="A104" s="24" t="s">
        <v>683</v>
      </c>
      <c r="B104" s="24" t="s">
        <v>1547</v>
      </c>
      <c r="C104" s="24" t="s">
        <v>1548</v>
      </c>
      <c r="D104" s="24" t="s">
        <v>1549</v>
      </c>
      <c r="E104" s="24" t="s">
        <v>1550</v>
      </c>
      <c r="F104" s="24" t="s">
        <v>1551</v>
      </c>
      <c r="G104" s="24" t="s">
        <v>4673</v>
      </c>
      <c r="H104" s="24" t="s">
        <v>4674</v>
      </c>
      <c r="I104" s="24" t="s">
        <v>4675</v>
      </c>
      <c r="J104" s="24" t="s">
        <v>1552</v>
      </c>
      <c r="K104" s="24" t="s">
        <v>5078</v>
      </c>
      <c r="L104" s="24" t="s">
        <v>1553</v>
      </c>
      <c r="M104" s="24" t="s">
        <v>1554</v>
      </c>
      <c r="N104" s="24" t="s">
        <v>621</v>
      </c>
      <c r="O104" s="24" t="s">
        <v>621</v>
      </c>
      <c r="P104" s="24" t="s">
        <v>621</v>
      </c>
      <c r="Q104" s="24" t="s">
        <v>621</v>
      </c>
      <c r="R104" s="24" t="s">
        <v>621</v>
      </c>
      <c r="S104" s="24" t="s">
        <v>621</v>
      </c>
    </row>
    <row r="105" spans="1:19" x14ac:dyDescent="0.25">
      <c r="A105" s="24" t="s">
        <v>1555</v>
      </c>
      <c r="B105" s="24" t="s">
        <v>1556</v>
      </c>
      <c r="C105" s="24" t="s">
        <v>1557</v>
      </c>
      <c r="D105" s="24" t="s">
        <v>5079</v>
      </c>
      <c r="E105" s="24" t="s">
        <v>5080</v>
      </c>
      <c r="F105" s="24" t="s">
        <v>1558</v>
      </c>
      <c r="G105" s="24" t="s">
        <v>4818</v>
      </c>
      <c r="H105" s="24" t="s">
        <v>1559</v>
      </c>
      <c r="I105" s="24" t="s">
        <v>1560</v>
      </c>
      <c r="J105" s="24" t="s">
        <v>4819</v>
      </c>
      <c r="K105" s="24" t="s">
        <v>5081</v>
      </c>
      <c r="L105" s="24" t="s">
        <v>4820</v>
      </c>
      <c r="M105" s="24" t="s">
        <v>1561</v>
      </c>
      <c r="N105" s="24" t="s">
        <v>5082</v>
      </c>
      <c r="O105" s="24" t="s">
        <v>5083</v>
      </c>
      <c r="P105" s="24" t="s">
        <v>621</v>
      </c>
      <c r="Q105" s="24" t="s">
        <v>621</v>
      </c>
      <c r="R105" s="24" t="s">
        <v>621</v>
      </c>
      <c r="S105" s="24" t="s">
        <v>621</v>
      </c>
    </row>
    <row r="106" spans="1:19" x14ac:dyDescent="0.25">
      <c r="A106" s="24" t="s">
        <v>1562</v>
      </c>
      <c r="B106" s="24" t="s">
        <v>1563</v>
      </c>
      <c r="C106" s="24" t="s">
        <v>5084</v>
      </c>
      <c r="D106" s="24" t="s">
        <v>5085</v>
      </c>
      <c r="E106" s="24" t="s">
        <v>1564</v>
      </c>
      <c r="F106" s="24" t="s">
        <v>1565</v>
      </c>
      <c r="G106" s="24" t="s">
        <v>1566</v>
      </c>
      <c r="H106" s="24" t="s">
        <v>4837</v>
      </c>
      <c r="I106" s="24" t="s">
        <v>5086</v>
      </c>
      <c r="J106" s="24" t="s">
        <v>5087</v>
      </c>
      <c r="K106" s="24" t="s">
        <v>4839</v>
      </c>
      <c r="L106" s="24" t="s">
        <v>1567</v>
      </c>
      <c r="M106" s="24" t="s">
        <v>1568</v>
      </c>
      <c r="N106" s="24" t="s">
        <v>1569</v>
      </c>
      <c r="O106" s="24" t="s">
        <v>621</v>
      </c>
      <c r="P106" s="24" t="s">
        <v>621</v>
      </c>
      <c r="Q106" s="24" t="s">
        <v>621</v>
      </c>
      <c r="R106" s="24" t="s">
        <v>621</v>
      </c>
      <c r="S106" s="24" t="s">
        <v>621</v>
      </c>
    </row>
    <row r="107" spans="1:19" x14ac:dyDescent="0.25">
      <c r="A107" s="24" t="s">
        <v>1570</v>
      </c>
      <c r="B107" s="24" t="s">
        <v>1571</v>
      </c>
      <c r="C107" s="24" t="s">
        <v>1572</v>
      </c>
      <c r="D107" s="24" t="s">
        <v>1573</v>
      </c>
      <c r="E107" s="24" t="s">
        <v>1574</v>
      </c>
      <c r="F107" s="24" t="s">
        <v>1575</v>
      </c>
      <c r="G107" s="24" t="s">
        <v>1576</v>
      </c>
      <c r="H107" s="24" t="s">
        <v>1577</v>
      </c>
      <c r="I107" s="24" t="s">
        <v>1578</v>
      </c>
      <c r="J107" s="24" t="s">
        <v>1579</v>
      </c>
      <c r="K107" s="24" t="s">
        <v>1580</v>
      </c>
      <c r="L107" s="24" t="s">
        <v>1581</v>
      </c>
      <c r="M107" s="24" t="s">
        <v>1582</v>
      </c>
      <c r="N107" s="24" t="s">
        <v>621</v>
      </c>
      <c r="O107" s="24" t="s">
        <v>621</v>
      </c>
      <c r="P107" s="24" t="s">
        <v>621</v>
      </c>
      <c r="Q107" s="24" t="s">
        <v>621</v>
      </c>
      <c r="R107" s="24" t="s">
        <v>621</v>
      </c>
      <c r="S107" s="24" t="s">
        <v>621</v>
      </c>
    </row>
    <row r="108" spans="1:19" x14ac:dyDescent="0.25">
      <c r="A108" s="24" t="s">
        <v>684</v>
      </c>
      <c r="B108" s="24" t="s">
        <v>1583</v>
      </c>
      <c r="C108" s="24" t="s">
        <v>5088</v>
      </c>
      <c r="D108" s="24" t="s">
        <v>5089</v>
      </c>
      <c r="E108" s="24" t="s">
        <v>1584</v>
      </c>
      <c r="F108" s="24" t="s">
        <v>5090</v>
      </c>
      <c r="G108" s="24" t="s">
        <v>1585</v>
      </c>
      <c r="H108" s="24" t="s">
        <v>1586</v>
      </c>
      <c r="I108" s="24" t="s">
        <v>5091</v>
      </c>
      <c r="J108" s="24" t="s">
        <v>5092</v>
      </c>
      <c r="K108" s="24" t="s">
        <v>5093</v>
      </c>
      <c r="L108" s="24" t="s">
        <v>5094</v>
      </c>
      <c r="M108" s="24" t="s">
        <v>1587</v>
      </c>
      <c r="N108" s="24" t="s">
        <v>710</v>
      </c>
      <c r="O108" s="24" t="s">
        <v>621</v>
      </c>
      <c r="P108" s="24" t="s">
        <v>621</v>
      </c>
      <c r="Q108" s="24" t="s">
        <v>621</v>
      </c>
      <c r="R108" s="24" t="s">
        <v>621</v>
      </c>
      <c r="S108" s="24" t="s">
        <v>621</v>
      </c>
    </row>
    <row r="109" spans="1:19" x14ac:dyDescent="0.25">
      <c r="A109" s="24" t="s">
        <v>1588</v>
      </c>
      <c r="B109" s="24" t="s">
        <v>1583</v>
      </c>
      <c r="C109" s="24" t="s">
        <v>5095</v>
      </c>
      <c r="D109" s="24" t="s">
        <v>1589</v>
      </c>
      <c r="E109" s="24" t="s">
        <v>5090</v>
      </c>
      <c r="F109" s="24" t="s">
        <v>1590</v>
      </c>
      <c r="G109" s="24" t="s">
        <v>1591</v>
      </c>
      <c r="H109" s="24" t="s">
        <v>5096</v>
      </c>
      <c r="I109" s="24" t="s">
        <v>5097</v>
      </c>
      <c r="J109" s="24" t="s">
        <v>5098</v>
      </c>
      <c r="K109" s="24" t="s">
        <v>5099</v>
      </c>
      <c r="L109" s="24" t="s">
        <v>5100</v>
      </c>
      <c r="M109" s="24" t="s">
        <v>5101</v>
      </c>
      <c r="N109" s="24" t="s">
        <v>5093</v>
      </c>
      <c r="O109" s="24" t="s">
        <v>1592</v>
      </c>
      <c r="P109" s="24" t="s">
        <v>1593</v>
      </c>
      <c r="Q109" s="24" t="s">
        <v>5102</v>
      </c>
      <c r="R109" s="24" t="s">
        <v>621</v>
      </c>
      <c r="S109" s="24" t="s">
        <v>621</v>
      </c>
    </row>
    <row r="110" spans="1:19" x14ac:dyDescent="0.25">
      <c r="A110" s="24" t="s">
        <v>1594</v>
      </c>
      <c r="B110" s="24" t="s">
        <v>1595</v>
      </c>
      <c r="C110" s="24" t="s">
        <v>1596</v>
      </c>
      <c r="D110" s="24" t="s">
        <v>1597</v>
      </c>
      <c r="E110" s="24" t="s">
        <v>1598</v>
      </c>
      <c r="F110" s="24" t="s">
        <v>1599</v>
      </c>
      <c r="G110" s="24" t="s">
        <v>621</v>
      </c>
      <c r="H110" s="24" t="s">
        <v>621</v>
      </c>
      <c r="I110" s="24" t="s">
        <v>621</v>
      </c>
      <c r="J110" s="24" t="s">
        <v>621</v>
      </c>
      <c r="K110" s="24" t="s">
        <v>621</v>
      </c>
      <c r="L110" s="24" t="s">
        <v>621</v>
      </c>
      <c r="M110" s="24" t="s">
        <v>621</v>
      </c>
      <c r="N110" s="24" t="s">
        <v>621</v>
      </c>
      <c r="O110" s="24" t="s">
        <v>621</v>
      </c>
      <c r="P110" s="24" t="s">
        <v>621</v>
      </c>
      <c r="Q110" s="24" t="s">
        <v>621</v>
      </c>
      <c r="R110" s="24" t="s">
        <v>621</v>
      </c>
      <c r="S110" s="24" t="s">
        <v>621</v>
      </c>
    </row>
    <row r="111" spans="1:19" x14ac:dyDescent="0.25">
      <c r="A111" s="24" t="s">
        <v>1600</v>
      </c>
      <c r="B111" s="24" t="s">
        <v>1601</v>
      </c>
      <c r="C111" s="24" t="s">
        <v>1602</v>
      </c>
      <c r="D111" s="24" t="s">
        <v>621</v>
      </c>
      <c r="E111" s="24" t="s">
        <v>621</v>
      </c>
      <c r="F111" s="24" t="s">
        <v>621</v>
      </c>
      <c r="G111" s="24" t="s">
        <v>621</v>
      </c>
      <c r="H111" s="24" t="s">
        <v>621</v>
      </c>
      <c r="I111" s="24" t="s">
        <v>621</v>
      </c>
      <c r="J111" s="24" t="s">
        <v>621</v>
      </c>
      <c r="K111" s="24" t="s">
        <v>621</v>
      </c>
      <c r="L111" s="24" t="s">
        <v>621</v>
      </c>
      <c r="M111" s="24" t="s">
        <v>621</v>
      </c>
      <c r="N111" s="24" t="s">
        <v>621</v>
      </c>
      <c r="O111" s="24" t="s">
        <v>621</v>
      </c>
      <c r="P111" s="24" t="s">
        <v>621</v>
      </c>
      <c r="Q111" s="24" t="s">
        <v>621</v>
      </c>
      <c r="R111" s="24" t="s">
        <v>621</v>
      </c>
      <c r="S111" s="24" t="s">
        <v>621</v>
      </c>
    </row>
    <row r="112" spans="1:19" x14ac:dyDescent="0.25">
      <c r="A112" s="24" t="s">
        <v>1603</v>
      </c>
      <c r="B112" s="24" t="s">
        <v>1604</v>
      </c>
      <c r="C112" s="24" t="s">
        <v>1605</v>
      </c>
      <c r="D112" s="24" t="s">
        <v>1606</v>
      </c>
      <c r="E112" s="24" t="s">
        <v>1607</v>
      </c>
      <c r="F112" s="24" t="s">
        <v>1608</v>
      </c>
      <c r="G112" s="24" t="s">
        <v>621</v>
      </c>
      <c r="H112" s="24" t="s">
        <v>621</v>
      </c>
      <c r="I112" s="24" t="s">
        <v>621</v>
      </c>
      <c r="J112" s="24" t="s">
        <v>621</v>
      </c>
      <c r="K112" s="24" t="s">
        <v>621</v>
      </c>
      <c r="L112" s="24" t="s">
        <v>621</v>
      </c>
      <c r="M112" s="24" t="s">
        <v>621</v>
      </c>
      <c r="N112" s="24" t="s">
        <v>621</v>
      </c>
      <c r="O112" s="24" t="s">
        <v>621</v>
      </c>
      <c r="P112" s="24" t="s">
        <v>621</v>
      </c>
      <c r="Q112" s="24" t="s">
        <v>621</v>
      </c>
      <c r="R112" s="24" t="s">
        <v>621</v>
      </c>
      <c r="S112" s="24" t="s">
        <v>621</v>
      </c>
    </row>
    <row r="113" spans="1:19" x14ac:dyDescent="0.25">
      <c r="A113" s="24" t="s">
        <v>1609</v>
      </c>
      <c r="B113" s="24" t="s">
        <v>1610</v>
      </c>
      <c r="C113" s="24" t="s">
        <v>1611</v>
      </c>
      <c r="D113" s="24" t="s">
        <v>1612</v>
      </c>
      <c r="E113" s="24" t="s">
        <v>1613</v>
      </c>
      <c r="F113" s="24" t="s">
        <v>1614</v>
      </c>
      <c r="G113" s="24" t="s">
        <v>621</v>
      </c>
      <c r="H113" s="24" t="s">
        <v>621</v>
      </c>
      <c r="I113" s="24" t="s">
        <v>621</v>
      </c>
      <c r="J113" s="24" t="s">
        <v>621</v>
      </c>
      <c r="K113" s="24" t="s">
        <v>621</v>
      </c>
      <c r="L113" s="24" t="s">
        <v>621</v>
      </c>
      <c r="M113" s="24" t="s">
        <v>621</v>
      </c>
      <c r="N113" s="24" t="s">
        <v>621</v>
      </c>
      <c r="O113" s="24" t="s">
        <v>621</v>
      </c>
      <c r="P113" s="24" t="s">
        <v>621</v>
      </c>
      <c r="Q113" s="24" t="s">
        <v>621</v>
      </c>
      <c r="R113" s="24" t="s">
        <v>621</v>
      </c>
      <c r="S113" s="24" t="s">
        <v>621</v>
      </c>
    </row>
    <row r="114" spans="1:19" x14ac:dyDescent="0.25">
      <c r="A114" s="24" t="s">
        <v>1615</v>
      </c>
      <c r="B114" s="24" t="s">
        <v>1616</v>
      </c>
      <c r="C114" s="24" t="s">
        <v>1617</v>
      </c>
      <c r="D114" s="24" t="s">
        <v>1618</v>
      </c>
      <c r="E114" s="24" t="s">
        <v>1619</v>
      </c>
      <c r="F114" s="24" t="s">
        <v>1620</v>
      </c>
      <c r="G114" s="24" t="s">
        <v>1621</v>
      </c>
      <c r="H114" s="24" t="s">
        <v>621</v>
      </c>
      <c r="I114" s="24" t="s">
        <v>621</v>
      </c>
      <c r="J114" s="24" t="s">
        <v>621</v>
      </c>
      <c r="K114" s="24" t="s">
        <v>621</v>
      </c>
      <c r="L114" s="24" t="s">
        <v>621</v>
      </c>
      <c r="M114" s="24" t="s">
        <v>621</v>
      </c>
      <c r="N114" s="24" t="s">
        <v>621</v>
      </c>
      <c r="O114" s="24" t="s">
        <v>621</v>
      </c>
      <c r="P114" s="24" t="s">
        <v>621</v>
      </c>
      <c r="Q114" s="24" t="s">
        <v>621</v>
      </c>
      <c r="R114" s="24" t="s">
        <v>621</v>
      </c>
      <c r="S114" s="24" t="s">
        <v>621</v>
      </c>
    </row>
    <row r="115" spans="1:19" x14ac:dyDescent="0.25">
      <c r="A115" s="24" t="s">
        <v>1622</v>
      </c>
      <c r="B115" s="24" t="s">
        <v>1623</v>
      </c>
      <c r="C115" s="24" t="s">
        <v>1624</v>
      </c>
      <c r="D115" s="24" t="s">
        <v>1625</v>
      </c>
      <c r="E115" s="24" t="s">
        <v>1626</v>
      </c>
      <c r="F115" s="24" t="s">
        <v>1627</v>
      </c>
      <c r="G115" s="24" t="s">
        <v>621</v>
      </c>
      <c r="H115" s="24" t="s">
        <v>621</v>
      </c>
      <c r="I115" s="24" t="s">
        <v>621</v>
      </c>
      <c r="J115" s="24" t="s">
        <v>621</v>
      </c>
      <c r="K115" s="24" t="s">
        <v>621</v>
      </c>
      <c r="L115" s="24" t="s">
        <v>621</v>
      </c>
      <c r="M115" s="24" t="s">
        <v>621</v>
      </c>
      <c r="N115" s="24" t="s">
        <v>621</v>
      </c>
      <c r="O115" s="24" t="s">
        <v>621</v>
      </c>
      <c r="P115" s="24" t="s">
        <v>621</v>
      </c>
      <c r="Q115" s="24" t="s">
        <v>621</v>
      </c>
      <c r="R115" s="24" t="s">
        <v>621</v>
      </c>
      <c r="S115" s="24" t="s">
        <v>621</v>
      </c>
    </row>
    <row r="116" spans="1:19" x14ac:dyDescent="0.25">
      <c r="A116" s="24" t="s">
        <v>1628</v>
      </c>
      <c r="B116" s="24" t="s">
        <v>1629</v>
      </c>
      <c r="C116" s="24" t="s">
        <v>1630</v>
      </c>
      <c r="D116" s="24" t="s">
        <v>1631</v>
      </c>
      <c r="E116" s="24" t="s">
        <v>1632</v>
      </c>
      <c r="F116" s="24" t="s">
        <v>1633</v>
      </c>
      <c r="G116" s="24" t="s">
        <v>1634</v>
      </c>
      <c r="H116" s="24" t="s">
        <v>1635</v>
      </c>
      <c r="I116" s="24" t="s">
        <v>1636</v>
      </c>
      <c r="J116" s="24" t="s">
        <v>1637</v>
      </c>
      <c r="K116" s="24" t="s">
        <v>1638</v>
      </c>
      <c r="L116" s="24" t="s">
        <v>1639</v>
      </c>
      <c r="M116" s="24" t="s">
        <v>1640</v>
      </c>
      <c r="N116" s="24" t="s">
        <v>1641</v>
      </c>
      <c r="O116" s="24" t="s">
        <v>621</v>
      </c>
      <c r="P116" s="24" t="s">
        <v>621</v>
      </c>
      <c r="Q116" s="24" t="s">
        <v>621</v>
      </c>
      <c r="R116" s="24" t="s">
        <v>621</v>
      </c>
      <c r="S116" s="24" t="s">
        <v>621</v>
      </c>
    </row>
    <row r="117" spans="1:19" x14ac:dyDescent="0.25">
      <c r="A117" s="24" t="s">
        <v>1642</v>
      </c>
      <c r="B117" s="24" t="s">
        <v>1643</v>
      </c>
      <c r="C117" s="24" t="s">
        <v>1644</v>
      </c>
      <c r="D117" s="24" t="s">
        <v>1645</v>
      </c>
      <c r="E117" s="24" t="s">
        <v>1646</v>
      </c>
      <c r="F117" s="24" t="s">
        <v>1647</v>
      </c>
      <c r="G117" s="24" t="s">
        <v>1648</v>
      </c>
      <c r="H117" s="24" t="s">
        <v>1649</v>
      </c>
      <c r="I117" s="24" t="s">
        <v>1650</v>
      </c>
      <c r="J117" s="24" t="s">
        <v>621</v>
      </c>
      <c r="K117" s="24" t="s">
        <v>621</v>
      </c>
      <c r="L117" s="24" t="s">
        <v>621</v>
      </c>
      <c r="M117" s="24" t="s">
        <v>621</v>
      </c>
      <c r="N117" s="24" t="s">
        <v>621</v>
      </c>
      <c r="O117" s="24" t="s">
        <v>621</v>
      </c>
      <c r="P117" s="24" t="s">
        <v>621</v>
      </c>
      <c r="Q117" s="24" t="s">
        <v>621</v>
      </c>
      <c r="R117" s="24" t="s">
        <v>621</v>
      </c>
      <c r="S117" s="24" t="s">
        <v>621</v>
      </c>
    </row>
    <row r="118" spans="1:19" x14ac:dyDescent="0.25">
      <c r="A118" s="24" t="s">
        <v>685</v>
      </c>
      <c r="B118" s="24" t="s">
        <v>1651</v>
      </c>
      <c r="C118" s="24" t="s">
        <v>1652</v>
      </c>
      <c r="D118" s="24" t="s">
        <v>1653</v>
      </c>
      <c r="E118" s="24" t="s">
        <v>1654</v>
      </c>
      <c r="F118" s="24" t="s">
        <v>1655</v>
      </c>
      <c r="G118" s="24" t="s">
        <v>1656</v>
      </c>
      <c r="H118" s="24" t="s">
        <v>1657</v>
      </c>
      <c r="I118" s="24" t="s">
        <v>1658</v>
      </c>
      <c r="J118" s="24" t="s">
        <v>625</v>
      </c>
      <c r="K118" s="24" t="s">
        <v>1659</v>
      </c>
      <c r="L118" s="24" t="s">
        <v>1660</v>
      </c>
      <c r="M118" s="24" t="s">
        <v>1661</v>
      </c>
      <c r="N118" s="24" t="s">
        <v>1662</v>
      </c>
      <c r="O118" s="24" t="s">
        <v>1593</v>
      </c>
      <c r="P118" s="24" t="s">
        <v>621</v>
      </c>
      <c r="Q118" s="24" t="s">
        <v>621</v>
      </c>
      <c r="R118" s="24" t="s">
        <v>621</v>
      </c>
      <c r="S118" s="24" t="s">
        <v>621</v>
      </c>
    </row>
    <row r="119" spans="1:19" x14ac:dyDescent="0.25">
      <c r="A119" s="24" t="s">
        <v>1663</v>
      </c>
      <c r="B119" s="24" t="s">
        <v>1664</v>
      </c>
      <c r="C119" s="24" t="s">
        <v>1665</v>
      </c>
      <c r="D119" s="24" t="s">
        <v>1666</v>
      </c>
      <c r="E119" s="24" t="s">
        <v>1667</v>
      </c>
      <c r="F119" s="24" t="s">
        <v>1668</v>
      </c>
      <c r="G119" s="24" t="s">
        <v>1669</v>
      </c>
      <c r="H119" s="24" t="s">
        <v>1670</v>
      </c>
      <c r="I119" s="24" t="s">
        <v>1578</v>
      </c>
      <c r="J119" s="24" t="s">
        <v>1671</v>
      </c>
      <c r="K119" s="24" t="s">
        <v>1672</v>
      </c>
      <c r="L119" s="24" t="s">
        <v>1580</v>
      </c>
      <c r="M119" s="24" t="s">
        <v>1581</v>
      </c>
      <c r="N119" s="24" t="s">
        <v>1582</v>
      </c>
      <c r="O119" s="24" t="s">
        <v>621</v>
      </c>
      <c r="P119" s="24" t="s">
        <v>621</v>
      </c>
      <c r="Q119" s="24" t="s">
        <v>621</v>
      </c>
      <c r="R119" s="24" t="s">
        <v>621</v>
      </c>
      <c r="S119" s="24" t="s">
        <v>621</v>
      </c>
    </row>
    <row r="120" spans="1:19" x14ac:dyDescent="0.25">
      <c r="A120" s="24" t="s">
        <v>686</v>
      </c>
      <c r="B120" s="24" t="s">
        <v>5103</v>
      </c>
      <c r="C120" s="24" t="s">
        <v>5104</v>
      </c>
      <c r="D120" s="24" t="s">
        <v>1673</v>
      </c>
      <c r="E120" s="24" t="s">
        <v>5105</v>
      </c>
      <c r="F120" s="24" t="s">
        <v>1674</v>
      </c>
      <c r="G120" s="24" t="s">
        <v>1675</v>
      </c>
      <c r="H120" s="24" t="s">
        <v>5106</v>
      </c>
      <c r="I120" s="24" t="s">
        <v>5107</v>
      </c>
      <c r="J120" s="24" t="s">
        <v>5108</v>
      </c>
      <c r="K120" s="24" t="s">
        <v>1676</v>
      </c>
      <c r="L120" s="24" t="s">
        <v>5109</v>
      </c>
      <c r="M120" s="24" t="s">
        <v>5110</v>
      </c>
      <c r="N120" s="24" t="s">
        <v>5111</v>
      </c>
      <c r="O120" s="24" t="s">
        <v>5112</v>
      </c>
      <c r="P120" s="24" t="s">
        <v>621</v>
      </c>
      <c r="Q120" s="24" t="s">
        <v>621</v>
      </c>
      <c r="R120" s="24" t="s">
        <v>621</v>
      </c>
      <c r="S120" s="24" t="s">
        <v>621</v>
      </c>
    </row>
    <row r="121" spans="1:19" x14ac:dyDescent="0.25">
      <c r="A121" s="24" t="s">
        <v>687</v>
      </c>
      <c r="B121" s="24" t="s">
        <v>5113</v>
      </c>
      <c r="C121" s="24" t="s">
        <v>5114</v>
      </c>
      <c r="D121" s="24" t="s">
        <v>5115</v>
      </c>
      <c r="E121" s="24" t="s">
        <v>1677</v>
      </c>
      <c r="F121" s="24" t="s">
        <v>1678</v>
      </c>
      <c r="G121" s="24" t="s">
        <v>1679</v>
      </c>
      <c r="H121" s="24" t="s">
        <v>4715</v>
      </c>
      <c r="I121" s="24" t="s">
        <v>4717</v>
      </c>
      <c r="J121" s="24" t="s">
        <v>5116</v>
      </c>
      <c r="K121" s="24" t="s">
        <v>5117</v>
      </c>
      <c r="L121" s="24" t="s">
        <v>621</v>
      </c>
      <c r="M121" s="24" t="s">
        <v>621</v>
      </c>
      <c r="N121" s="24" t="s">
        <v>621</v>
      </c>
      <c r="O121" s="24" t="s">
        <v>621</v>
      </c>
      <c r="P121" s="24" t="s">
        <v>621</v>
      </c>
      <c r="Q121" s="24" t="s">
        <v>621</v>
      </c>
      <c r="R121" s="24" t="s">
        <v>621</v>
      </c>
      <c r="S121" s="24" t="s">
        <v>621</v>
      </c>
    </row>
    <row r="122" spans="1:19" x14ac:dyDescent="0.25">
      <c r="A122" s="24" t="s">
        <v>1680</v>
      </c>
      <c r="B122" s="24" t="s">
        <v>1681</v>
      </c>
      <c r="C122" s="24" t="s">
        <v>1682</v>
      </c>
      <c r="D122" s="24" t="s">
        <v>1683</v>
      </c>
      <c r="E122" s="24" t="s">
        <v>1684</v>
      </c>
      <c r="F122" s="24" t="s">
        <v>1685</v>
      </c>
      <c r="G122" s="24" t="s">
        <v>1686</v>
      </c>
      <c r="H122" s="24" t="s">
        <v>1687</v>
      </c>
      <c r="I122" s="24" t="s">
        <v>621</v>
      </c>
      <c r="J122" s="24" t="s">
        <v>621</v>
      </c>
      <c r="K122" s="24" t="s">
        <v>621</v>
      </c>
      <c r="L122" s="24" t="s">
        <v>621</v>
      </c>
      <c r="M122" s="24" t="s">
        <v>621</v>
      </c>
      <c r="N122" s="24" t="s">
        <v>621</v>
      </c>
      <c r="O122" s="24" t="s">
        <v>621</v>
      </c>
      <c r="P122" s="24" t="s">
        <v>621</v>
      </c>
      <c r="Q122" s="24" t="s">
        <v>621</v>
      </c>
      <c r="R122" s="24" t="s">
        <v>621</v>
      </c>
      <c r="S122" s="24" t="s">
        <v>621</v>
      </c>
    </row>
    <row r="123" spans="1:19" x14ac:dyDescent="0.25">
      <c r="A123" s="24" t="s">
        <v>1688</v>
      </c>
      <c r="B123" s="24" t="s">
        <v>1689</v>
      </c>
      <c r="C123" s="24" t="s">
        <v>1690</v>
      </c>
      <c r="D123" s="24" t="s">
        <v>1691</v>
      </c>
      <c r="E123" s="24" t="s">
        <v>1692</v>
      </c>
      <c r="F123" s="24" t="s">
        <v>1693</v>
      </c>
      <c r="G123" s="24" t="s">
        <v>1694</v>
      </c>
      <c r="H123" s="24" t="s">
        <v>1695</v>
      </c>
      <c r="I123" s="24" t="s">
        <v>1696</v>
      </c>
      <c r="J123" s="24" t="s">
        <v>1697</v>
      </c>
      <c r="K123" s="24" t="s">
        <v>1698</v>
      </c>
      <c r="L123" s="24" t="s">
        <v>1699</v>
      </c>
      <c r="M123" s="24" t="s">
        <v>1700</v>
      </c>
      <c r="N123" s="24" t="s">
        <v>1701</v>
      </c>
      <c r="O123" s="24" t="s">
        <v>1702</v>
      </c>
      <c r="P123" s="24" t="s">
        <v>621</v>
      </c>
      <c r="Q123" s="24" t="s">
        <v>621</v>
      </c>
      <c r="R123" s="24" t="s">
        <v>621</v>
      </c>
      <c r="S123" s="24" t="s">
        <v>621</v>
      </c>
    </row>
    <row r="124" spans="1:19" x14ac:dyDescent="0.25">
      <c r="A124" s="24" t="s">
        <v>688</v>
      </c>
      <c r="B124" s="24" t="s">
        <v>5118</v>
      </c>
      <c r="C124" s="24" t="s">
        <v>5119</v>
      </c>
      <c r="D124" s="24" t="s">
        <v>5120</v>
      </c>
      <c r="E124" s="24" t="s">
        <v>1703</v>
      </c>
      <c r="F124" s="24" t="s">
        <v>5121</v>
      </c>
      <c r="G124" s="24" t="s">
        <v>1704</v>
      </c>
      <c r="H124" s="24" t="s">
        <v>1705</v>
      </c>
      <c r="I124" s="24" t="s">
        <v>1266</v>
      </c>
      <c r="J124" s="24" t="s">
        <v>5122</v>
      </c>
      <c r="K124" s="24" t="s">
        <v>1706</v>
      </c>
      <c r="L124" s="24" t="s">
        <v>5123</v>
      </c>
      <c r="M124" s="24" t="s">
        <v>1707</v>
      </c>
      <c r="N124" s="24" t="s">
        <v>1708</v>
      </c>
      <c r="O124" s="24" t="s">
        <v>5124</v>
      </c>
      <c r="P124" s="24" t="s">
        <v>621</v>
      </c>
      <c r="Q124" s="24" t="s">
        <v>621</v>
      </c>
      <c r="R124" s="24" t="s">
        <v>621</v>
      </c>
      <c r="S124" s="24" t="s">
        <v>621</v>
      </c>
    </row>
    <row r="125" spans="1:19" x14ac:dyDescent="0.25">
      <c r="A125" s="24" t="s">
        <v>689</v>
      </c>
      <c r="B125" s="24" t="s">
        <v>5125</v>
      </c>
      <c r="C125" s="24" t="s">
        <v>1709</v>
      </c>
      <c r="D125" s="24" t="s">
        <v>4951</v>
      </c>
      <c r="E125" s="24" t="s">
        <v>5126</v>
      </c>
      <c r="F125" s="24" t="s">
        <v>1710</v>
      </c>
      <c r="G125" s="24" t="s">
        <v>1711</v>
      </c>
      <c r="H125" s="24" t="s">
        <v>1712</v>
      </c>
      <c r="I125" s="24" t="s">
        <v>4952</v>
      </c>
      <c r="J125" s="24" t="s">
        <v>1713</v>
      </c>
      <c r="K125" s="24" t="s">
        <v>5000</v>
      </c>
      <c r="L125" s="24" t="s">
        <v>1714</v>
      </c>
      <c r="M125" s="24" t="s">
        <v>5127</v>
      </c>
      <c r="N125" s="24" t="s">
        <v>5128</v>
      </c>
      <c r="O125" s="24" t="s">
        <v>1715</v>
      </c>
      <c r="P125" s="24" t="s">
        <v>5129</v>
      </c>
      <c r="Q125" s="24" t="s">
        <v>5130</v>
      </c>
      <c r="R125" s="24" t="s">
        <v>621</v>
      </c>
      <c r="S125" s="24" t="s">
        <v>621</v>
      </c>
    </row>
    <row r="126" spans="1:19" x14ac:dyDescent="0.25">
      <c r="A126" s="24" t="s">
        <v>690</v>
      </c>
      <c r="B126" s="24" t="s">
        <v>1716</v>
      </c>
      <c r="C126" s="24" t="s">
        <v>1717</v>
      </c>
      <c r="D126" s="24" t="s">
        <v>1718</v>
      </c>
      <c r="E126" s="24" t="s">
        <v>5131</v>
      </c>
      <c r="F126" s="24" t="s">
        <v>5132</v>
      </c>
      <c r="G126" s="24" t="s">
        <v>4723</v>
      </c>
      <c r="H126" s="24" t="s">
        <v>4839</v>
      </c>
      <c r="I126" s="24" t="s">
        <v>1719</v>
      </c>
      <c r="J126" s="24" t="s">
        <v>5133</v>
      </c>
      <c r="K126" s="24" t="s">
        <v>4726</v>
      </c>
      <c r="L126" s="24" t="s">
        <v>5134</v>
      </c>
      <c r="M126" s="24" t="s">
        <v>1720</v>
      </c>
      <c r="N126" s="24" t="s">
        <v>621</v>
      </c>
      <c r="O126" s="24" t="s">
        <v>621</v>
      </c>
      <c r="P126" s="24" t="s">
        <v>621</v>
      </c>
      <c r="Q126" s="24" t="s">
        <v>621</v>
      </c>
      <c r="R126" s="24" t="s">
        <v>621</v>
      </c>
      <c r="S126" s="24" t="s">
        <v>621</v>
      </c>
    </row>
    <row r="127" spans="1:19" x14ac:dyDescent="0.25">
      <c r="A127" s="24" t="s">
        <v>691</v>
      </c>
      <c r="B127" s="24" t="s">
        <v>5135</v>
      </c>
      <c r="C127" s="24" t="s">
        <v>5136</v>
      </c>
      <c r="D127" s="24" t="s">
        <v>1721</v>
      </c>
      <c r="E127" s="24" t="s">
        <v>1722</v>
      </c>
      <c r="F127" s="24" t="s">
        <v>1723</v>
      </c>
      <c r="G127" s="24" t="s">
        <v>4673</v>
      </c>
      <c r="H127" s="24" t="s">
        <v>4674</v>
      </c>
      <c r="I127" s="24" t="s">
        <v>5137</v>
      </c>
      <c r="J127" s="24" t="s">
        <v>5078</v>
      </c>
      <c r="K127" s="24" t="s">
        <v>5138</v>
      </c>
      <c r="L127" s="24" t="s">
        <v>1724</v>
      </c>
      <c r="M127" s="24" t="s">
        <v>621</v>
      </c>
      <c r="N127" s="24" t="s">
        <v>621</v>
      </c>
      <c r="O127" s="24" t="s">
        <v>621</v>
      </c>
      <c r="P127" s="24" t="s">
        <v>621</v>
      </c>
      <c r="Q127" s="24" t="s">
        <v>621</v>
      </c>
      <c r="R127" s="24" t="s">
        <v>621</v>
      </c>
      <c r="S127" s="24" t="s">
        <v>621</v>
      </c>
    </row>
    <row r="128" spans="1:19" x14ac:dyDescent="0.25">
      <c r="A128" s="24" t="s">
        <v>1725</v>
      </c>
      <c r="B128" s="24" t="s">
        <v>5139</v>
      </c>
      <c r="C128" s="24" t="s">
        <v>1726</v>
      </c>
      <c r="D128" s="24" t="s">
        <v>1727</v>
      </c>
      <c r="E128" s="24" t="s">
        <v>1728</v>
      </c>
      <c r="F128" s="24" t="s">
        <v>1729</v>
      </c>
      <c r="G128" s="24" t="s">
        <v>4839</v>
      </c>
      <c r="H128" s="24" t="s">
        <v>5140</v>
      </c>
      <c r="I128" s="24" t="s">
        <v>5141</v>
      </c>
      <c r="J128" s="24" t="s">
        <v>5142</v>
      </c>
      <c r="K128" s="24" t="s">
        <v>5143</v>
      </c>
      <c r="L128" s="24" t="s">
        <v>1730</v>
      </c>
      <c r="M128" s="24" t="s">
        <v>621</v>
      </c>
      <c r="N128" s="24" t="s">
        <v>621</v>
      </c>
      <c r="O128" s="24" t="s">
        <v>621</v>
      </c>
      <c r="P128" s="24" t="s">
        <v>621</v>
      </c>
      <c r="Q128" s="24" t="s">
        <v>621</v>
      </c>
      <c r="R128" s="24" t="s">
        <v>621</v>
      </c>
      <c r="S128" s="24" t="s">
        <v>621</v>
      </c>
    </row>
    <row r="129" spans="1:19" x14ac:dyDescent="0.25">
      <c r="A129" s="24" t="s">
        <v>1731</v>
      </c>
      <c r="B129" s="24" t="s">
        <v>1732</v>
      </c>
      <c r="C129" s="24" t="s">
        <v>1733</v>
      </c>
      <c r="D129" s="24" t="s">
        <v>1734</v>
      </c>
      <c r="E129" s="24" t="s">
        <v>1735</v>
      </c>
      <c r="F129" s="24" t="s">
        <v>1736</v>
      </c>
      <c r="G129" s="24" t="s">
        <v>621</v>
      </c>
      <c r="H129" s="24" t="s">
        <v>621</v>
      </c>
      <c r="I129" s="24" t="s">
        <v>621</v>
      </c>
      <c r="J129" s="24" t="s">
        <v>621</v>
      </c>
      <c r="K129" s="24" t="s">
        <v>621</v>
      </c>
      <c r="L129" s="24" t="s">
        <v>621</v>
      </c>
      <c r="M129" s="24" t="s">
        <v>621</v>
      </c>
      <c r="N129" s="24" t="s">
        <v>621</v>
      </c>
      <c r="O129" s="24" t="s">
        <v>621</v>
      </c>
      <c r="P129" s="24" t="s">
        <v>621</v>
      </c>
      <c r="Q129" s="24" t="s">
        <v>621</v>
      </c>
      <c r="R129" s="24" t="s">
        <v>621</v>
      </c>
      <c r="S129" s="24" t="s">
        <v>621</v>
      </c>
    </row>
    <row r="130" spans="1:19" x14ac:dyDescent="0.25">
      <c r="A130" s="24" t="s">
        <v>1737</v>
      </c>
      <c r="B130" s="24" t="s">
        <v>1738</v>
      </c>
      <c r="C130" s="24" t="s">
        <v>1739</v>
      </c>
      <c r="D130" s="24" t="s">
        <v>1740</v>
      </c>
      <c r="E130" s="24" t="s">
        <v>1741</v>
      </c>
      <c r="F130" s="24" t="s">
        <v>1742</v>
      </c>
      <c r="G130" s="24" t="s">
        <v>1743</v>
      </c>
      <c r="H130" s="24" t="s">
        <v>621</v>
      </c>
      <c r="I130" s="24" t="s">
        <v>621</v>
      </c>
      <c r="J130" s="24" t="s">
        <v>621</v>
      </c>
      <c r="K130" s="24" t="s">
        <v>621</v>
      </c>
      <c r="L130" s="24" t="s">
        <v>621</v>
      </c>
      <c r="M130" s="24" t="s">
        <v>621</v>
      </c>
      <c r="N130" s="24" t="s">
        <v>621</v>
      </c>
      <c r="O130" s="24" t="s">
        <v>621</v>
      </c>
      <c r="P130" s="24" t="s">
        <v>621</v>
      </c>
      <c r="Q130" s="24" t="s">
        <v>621</v>
      </c>
      <c r="R130" s="24" t="s">
        <v>621</v>
      </c>
      <c r="S130" s="24" t="s">
        <v>621</v>
      </c>
    </row>
    <row r="131" spans="1:19" x14ac:dyDescent="0.25">
      <c r="A131" s="24" t="s">
        <v>1744</v>
      </c>
      <c r="B131" s="24" t="s">
        <v>1745</v>
      </c>
      <c r="C131" s="24" t="s">
        <v>1746</v>
      </c>
      <c r="D131" s="24" t="s">
        <v>1747</v>
      </c>
      <c r="E131" s="24" t="s">
        <v>1748</v>
      </c>
      <c r="F131" s="24" t="s">
        <v>1749</v>
      </c>
      <c r="G131" s="24" t="s">
        <v>621</v>
      </c>
      <c r="H131" s="24" t="s">
        <v>621</v>
      </c>
      <c r="I131" s="24" t="s">
        <v>621</v>
      </c>
      <c r="J131" s="24" t="s">
        <v>621</v>
      </c>
      <c r="K131" s="24" t="s">
        <v>621</v>
      </c>
      <c r="L131" s="24" t="s">
        <v>621</v>
      </c>
      <c r="M131" s="24" t="s">
        <v>621</v>
      </c>
      <c r="N131" s="24" t="s">
        <v>621</v>
      </c>
      <c r="O131" s="24" t="s">
        <v>621</v>
      </c>
      <c r="P131" s="24" t="s">
        <v>621</v>
      </c>
      <c r="Q131" s="24" t="s">
        <v>621</v>
      </c>
      <c r="R131" s="24" t="s">
        <v>621</v>
      </c>
      <c r="S131" s="24" t="s">
        <v>621</v>
      </c>
    </row>
    <row r="132" spans="1:19" x14ac:dyDescent="0.25">
      <c r="A132" s="24" t="s">
        <v>1750</v>
      </c>
      <c r="B132" s="24" t="s">
        <v>1751</v>
      </c>
      <c r="C132" s="24" t="s">
        <v>1752</v>
      </c>
      <c r="D132" s="24" t="s">
        <v>1746</v>
      </c>
      <c r="E132" s="24" t="s">
        <v>1753</v>
      </c>
      <c r="F132" s="24" t="s">
        <v>1754</v>
      </c>
      <c r="G132" s="24" t="s">
        <v>621</v>
      </c>
      <c r="H132" s="24" t="s">
        <v>621</v>
      </c>
      <c r="I132" s="24" t="s">
        <v>621</v>
      </c>
      <c r="J132" s="24" t="s">
        <v>621</v>
      </c>
      <c r="K132" s="24" t="s">
        <v>621</v>
      </c>
      <c r="L132" s="24" t="s">
        <v>621</v>
      </c>
      <c r="M132" s="24" t="s">
        <v>621</v>
      </c>
      <c r="N132" s="24" t="s">
        <v>621</v>
      </c>
      <c r="O132" s="24" t="s">
        <v>621</v>
      </c>
      <c r="P132" s="24" t="s">
        <v>621</v>
      </c>
      <c r="Q132" s="24" t="s">
        <v>621</v>
      </c>
      <c r="R132" s="24" t="s">
        <v>621</v>
      </c>
      <c r="S132" s="24" t="s">
        <v>621</v>
      </c>
    </row>
    <row r="133" spans="1:19" x14ac:dyDescent="0.25">
      <c r="A133" s="24" t="s">
        <v>1755</v>
      </c>
      <c r="B133" s="24" t="s">
        <v>1756</v>
      </c>
      <c r="C133" s="24" t="s">
        <v>1757</v>
      </c>
      <c r="D133" s="24" t="s">
        <v>1758</v>
      </c>
      <c r="E133" s="24" t="s">
        <v>1759</v>
      </c>
      <c r="F133" s="24" t="s">
        <v>1760</v>
      </c>
      <c r="G133" s="24" t="s">
        <v>621</v>
      </c>
      <c r="H133" s="24" t="s">
        <v>621</v>
      </c>
      <c r="I133" s="24" t="s">
        <v>621</v>
      </c>
      <c r="J133" s="24" t="s">
        <v>621</v>
      </c>
      <c r="K133" s="24" t="s">
        <v>621</v>
      </c>
      <c r="L133" s="24" t="s">
        <v>621</v>
      </c>
      <c r="M133" s="24" t="s">
        <v>621</v>
      </c>
      <c r="N133" s="24" t="s">
        <v>621</v>
      </c>
      <c r="O133" s="24" t="s">
        <v>621</v>
      </c>
      <c r="P133" s="24" t="s">
        <v>621</v>
      </c>
      <c r="Q133" s="24" t="s">
        <v>621</v>
      </c>
      <c r="R133" s="24" t="s">
        <v>621</v>
      </c>
      <c r="S133" s="24" t="s">
        <v>621</v>
      </c>
    </row>
    <row r="134" spans="1:19" x14ac:dyDescent="0.25">
      <c r="A134" s="24" t="s">
        <v>1761</v>
      </c>
      <c r="B134" s="24" t="s">
        <v>1762</v>
      </c>
      <c r="C134" s="24" t="s">
        <v>1763</v>
      </c>
      <c r="D134" s="24" t="s">
        <v>1764</v>
      </c>
      <c r="E134" s="24" t="s">
        <v>1765</v>
      </c>
      <c r="F134" s="24" t="s">
        <v>1766</v>
      </c>
      <c r="G134" s="24" t="s">
        <v>1767</v>
      </c>
      <c r="H134" s="24" t="s">
        <v>1768</v>
      </c>
      <c r="I134" s="24" t="s">
        <v>1769</v>
      </c>
      <c r="J134" s="24" t="s">
        <v>1770</v>
      </c>
      <c r="K134" s="24" t="s">
        <v>1771</v>
      </c>
      <c r="L134" s="24" t="s">
        <v>1772</v>
      </c>
      <c r="M134" s="24" t="s">
        <v>621</v>
      </c>
      <c r="N134" s="24" t="s">
        <v>621</v>
      </c>
      <c r="O134" s="24" t="s">
        <v>621</v>
      </c>
      <c r="P134" s="24" t="s">
        <v>621</v>
      </c>
      <c r="Q134" s="24" t="s">
        <v>621</v>
      </c>
      <c r="R134" s="24" t="s">
        <v>621</v>
      </c>
      <c r="S134" s="24" t="s">
        <v>621</v>
      </c>
    </row>
    <row r="135" spans="1:19" x14ac:dyDescent="0.25">
      <c r="A135" s="24" t="s">
        <v>1773</v>
      </c>
      <c r="B135" s="24" t="s">
        <v>1774</v>
      </c>
      <c r="C135" s="24" t="s">
        <v>1775</v>
      </c>
      <c r="D135" s="24" t="s">
        <v>1776</v>
      </c>
      <c r="E135" s="24" t="s">
        <v>1777</v>
      </c>
      <c r="F135" s="24" t="s">
        <v>1778</v>
      </c>
      <c r="G135" s="24" t="s">
        <v>1779</v>
      </c>
      <c r="H135" s="24" t="s">
        <v>1780</v>
      </c>
      <c r="I135" s="24" t="s">
        <v>1781</v>
      </c>
      <c r="J135" s="24" t="s">
        <v>1782</v>
      </c>
      <c r="K135" s="24" t="s">
        <v>621</v>
      </c>
      <c r="L135" s="24" t="s">
        <v>621</v>
      </c>
      <c r="M135" s="24" t="s">
        <v>621</v>
      </c>
      <c r="N135" s="24" t="s">
        <v>621</v>
      </c>
      <c r="O135" s="24" t="s">
        <v>621</v>
      </c>
      <c r="P135" s="24" t="s">
        <v>621</v>
      </c>
      <c r="Q135" s="24" t="s">
        <v>621</v>
      </c>
      <c r="R135" s="24" t="s">
        <v>621</v>
      </c>
      <c r="S135" s="24" t="s">
        <v>621</v>
      </c>
    </row>
    <row r="136" spans="1:19" x14ac:dyDescent="0.25">
      <c r="A136" s="24" t="s">
        <v>1783</v>
      </c>
      <c r="B136" s="24" t="s">
        <v>1784</v>
      </c>
      <c r="C136" s="24" t="s">
        <v>1785</v>
      </c>
      <c r="D136" s="24" t="s">
        <v>1786</v>
      </c>
      <c r="E136" s="24" t="s">
        <v>1787</v>
      </c>
      <c r="F136" s="24" t="s">
        <v>1788</v>
      </c>
      <c r="G136" s="24" t="s">
        <v>1789</v>
      </c>
      <c r="H136" s="24" t="s">
        <v>1790</v>
      </c>
      <c r="I136" s="24" t="s">
        <v>621</v>
      </c>
      <c r="J136" s="24" t="s">
        <v>621</v>
      </c>
      <c r="K136" s="24" t="s">
        <v>621</v>
      </c>
      <c r="L136" s="24" t="s">
        <v>621</v>
      </c>
      <c r="M136" s="24" t="s">
        <v>621</v>
      </c>
      <c r="N136" s="24" t="s">
        <v>621</v>
      </c>
      <c r="O136" s="24" t="s">
        <v>621</v>
      </c>
      <c r="P136" s="24" t="s">
        <v>621</v>
      </c>
      <c r="Q136" s="24" t="s">
        <v>621</v>
      </c>
      <c r="R136" s="24" t="s">
        <v>621</v>
      </c>
      <c r="S136" s="24" t="s">
        <v>621</v>
      </c>
    </row>
    <row r="137" spans="1:19" x14ac:dyDescent="0.25">
      <c r="A137" s="24" t="s">
        <v>1791</v>
      </c>
      <c r="B137" s="24" t="s">
        <v>1792</v>
      </c>
      <c r="C137" s="24" t="s">
        <v>1793</v>
      </c>
      <c r="D137" s="24" t="s">
        <v>5144</v>
      </c>
      <c r="E137" s="24" t="s">
        <v>1794</v>
      </c>
      <c r="F137" s="24" t="s">
        <v>1795</v>
      </c>
      <c r="G137" s="24" t="s">
        <v>1796</v>
      </c>
      <c r="H137" s="24" t="s">
        <v>1797</v>
      </c>
      <c r="I137" s="24" t="s">
        <v>1798</v>
      </c>
      <c r="J137" s="24" t="s">
        <v>1799</v>
      </c>
      <c r="K137" s="24" t="s">
        <v>1800</v>
      </c>
      <c r="L137" s="24" t="s">
        <v>1801</v>
      </c>
      <c r="M137" s="24" t="s">
        <v>1802</v>
      </c>
      <c r="N137" s="24" t="s">
        <v>1803</v>
      </c>
      <c r="O137" s="24" t="s">
        <v>1804</v>
      </c>
      <c r="P137" s="24" t="s">
        <v>621</v>
      </c>
      <c r="Q137" s="24" t="s">
        <v>621</v>
      </c>
      <c r="R137" s="24" t="s">
        <v>621</v>
      </c>
      <c r="S137" s="24" t="s">
        <v>621</v>
      </c>
    </row>
    <row r="138" spans="1:19" x14ac:dyDescent="0.25">
      <c r="A138" s="24" t="s">
        <v>692</v>
      </c>
      <c r="B138" s="24" t="s">
        <v>1805</v>
      </c>
      <c r="C138" s="24" t="s">
        <v>1806</v>
      </c>
      <c r="D138" s="24" t="s">
        <v>5145</v>
      </c>
      <c r="E138" s="24" t="s">
        <v>1807</v>
      </c>
      <c r="F138" s="24" t="s">
        <v>1808</v>
      </c>
      <c r="G138" s="24" t="s">
        <v>5146</v>
      </c>
      <c r="H138" s="24" t="s">
        <v>5147</v>
      </c>
      <c r="I138" s="24" t="s">
        <v>4839</v>
      </c>
      <c r="J138" s="24" t="s">
        <v>5148</v>
      </c>
      <c r="K138" s="24" t="s">
        <v>5149</v>
      </c>
      <c r="L138" s="24" t="s">
        <v>5150</v>
      </c>
      <c r="M138" s="24" t="s">
        <v>5151</v>
      </c>
      <c r="N138" s="24" t="s">
        <v>5152</v>
      </c>
      <c r="O138" s="24" t="s">
        <v>621</v>
      </c>
      <c r="P138" s="24" t="s">
        <v>621</v>
      </c>
      <c r="Q138" s="24" t="s">
        <v>621</v>
      </c>
      <c r="R138" s="24" t="s">
        <v>621</v>
      </c>
      <c r="S138" s="24" t="s">
        <v>621</v>
      </c>
    </row>
    <row r="139" spans="1:19" x14ac:dyDescent="0.25">
      <c r="A139" s="24" t="s">
        <v>693</v>
      </c>
      <c r="B139" s="24" t="s">
        <v>1809</v>
      </c>
      <c r="C139" s="24" t="s">
        <v>1810</v>
      </c>
      <c r="D139" s="24" t="s">
        <v>1811</v>
      </c>
      <c r="E139" s="24" t="s">
        <v>1812</v>
      </c>
      <c r="F139" s="24" t="s">
        <v>1813</v>
      </c>
      <c r="G139" s="24" t="s">
        <v>1814</v>
      </c>
      <c r="H139" s="24" t="s">
        <v>905</v>
      </c>
      <c r="I139" s="24" t="s">
        <v>5153</v>
      </c>
      <c r="J139" s="24" t="s">
        <v>620</v>
      </c>
      <c r="K139" s="24" t="s">
        <v>747</v>
      </c>
      <c r="L139" s="24" t="s">
        <v>1815</v>
      </c>
      <c r="M139" s="24" t="s">
        <v>1816</v>
      </c>
      <c r="N139" s="24" t="s">
        <v>621</v>
      </c>
      <c r="O139" s="24" t="s">
        <v>621</v>
      </c>
      <c r="P139" s="24" t="s">
        <v>621</v>
      </c>
      <c r="Q139" s="24" t="s">
        <v>621</v>
      </c>
      <c r="R139" s="24" t="s">
        <v>621</v>
      </c>
      <c r="S139" s="24" t="s">
        <v>621</v>
      </c>
    </row>
    <row r="140" spans="1:19" x14ac:dyDescent="0.25">
      <c r="A140" s="24" t="s">
        <v>1817</v>
      </c>
      <c r="B140" s="24" t="s">
        <v>1818</v>
      </c>
      <c r="C140" s="24" t="s">
        <v>1819</v>
      </c>
      <c r="D140" s="24" t="s">
        <v>5154</v>
      </c>
      <c r="E140" s="24" t="s">
        <v>5155</v>
      </c>
      <c r="F140" s="24" t="s">
        <v>1820</v>
      </c>
      <c r="G140" s="24" t="s">
        <v>1821</v>
      </c>
      <c r="H140" s="24" t="s">
        <v>1822</v>
      </c>
      <c r="I140" s="24" t="s">
        <v>5156</v>
      </c>
      <c r="J140" s="24" t="s">
        <v>1823</v>
      </c>
      <c r="K140" s="24" t="s">
        <v>5157</v>
      </c>
      <c r="L140" s="24" t="s">
        <v>621</v>
      </c>
      <c r="M140" s="24" t="s">
        <v>621</v>
      </c>
      <c r="N140" s="24" t="s">
        <v>621</v>
      </c>
      <c r="O140" s="24" t="s">
        <v>621</v>
      </c>
      <c r="P140" s="24" t="s">
        <v>621</v>
      </c>
      <c r="Q140" s="24" t="s">
        <v>621</v>
      </c>
      <c r="R140" s="24" t="s">
        <v>621</v>
      </c>
      <c r="S140" s="24" t="s">
        <v>621</v>
      </c>
    </row>
    <row r="141" spans="1:19" x14ac:dyDescent="0.25">
      <c r="A141" s="24" t="s">
        <v>1824</v>
      </c>
      <c r="B141" s="24" t="s">
        <v>1825</v>
      </c>
      <c r="C141" s="24" t="s">
        <v>1826</v>
      </c>
      <c r="D141" s="24" t="s">
        <v>1827</v>
      </c>
      <c r="E141" s="24" t="s">
        <v>1828</v>
      </c>
      <c r="F141" s="24" t="s">
        <v>1829</v>
      </c>
      <c r="G141" s="24" t="s">
        <v>1830</v>
      </c>
      <c r="H141" s="24" t="s">
        <v>905</v>
      </c>
      <c r="I141" s="24" t="s">
        <v>1831</v>
      </c>
      <c r="J141" s="24" t="s">
        <v>747</v>
      </c>
      <c r="K141" s="24" t="s">
        <v>1832</v>
      </c>
      <c r="L141" s="24" t="s">
        <v>1833</v>
      </c>
      <c r="M141" s="24" t="s">
        <v>1834</v>
      </c>
      <c r="N141" s="24" t="s">
        <v>621</v>
      </c>
      <c r="O141" s="24" t="s">
        <v>621</v>
      </c>
      <c r="P141" s="24" t="s">
        <v>621</v>
      </c>
      <c r="Q141" s="24" t="s">
        <v>621</v>
      </c>
      <c r="R141" s="24" t="s">
        <v>621</v>
      </c>
      <c r="S141" s="24" t="s">
        <v>621</v>
      </c>
    </row>
    <row r="142" spans="1:19" x14ac:dyDescent="0.25">
      <c r="A142" s="24" t="s">
        <v>694</v>
      </c>
      <c r="B142" s="24" t="s">
        <v>1835</v>
      </c>
      <c r="C142" s="24" t="s">
        <v>1836</v>
      </c>
      <c r="D142" s="24" t="s">
        <v>1837</v>
      </c>
      <c r="E142" s="24" t="s">
        <v>5158</v>
      </c>
      <c r="F142" s="24" t="s">
        <v>1838</v>
      </c>
      <c r="G142" s="24" t="s">
        <v>5105</v>
      </c>
      <c r="H142" s="24" t="s">
        <v>1839</v>
      </c>
      <c r="I142" s="24" t="s">
        <v>1840</v>
      </c>
      <c r="J142" s="24" t="s">
        <v>5107</v>
      </c>
      <c r="K142" s="24" t="s">
        <v>5108</v>
      </c>
      <c r="L142" s="24" t="s">
        <v>5159</v>
      </c>
      <c r="M142" s="24" t="s">
        <v>5160</v>
      </c>
      <c r="N142" s="24" t="s">
        <v>1841</v>
      </c>
      <c r="O142" s="24" t="s">
        <v>1842</v>
      </c>
      <c r="P142" s="24" t="s">
        <v>5110</v>
      </c>
      <c r="Q142" s="24" t="s">
        <v>621</v>
      </c>
      <c r="R142" s="24" t="s">
        <v>621</v>
      </c>
      <c r="S142" s="24" t="s">
        <v>621</v>
      </c>
    </row>
    <row r="143" spans="1:19" x14ac:dyDescent="0.25">
      <c r="A143" s="24" t="s">
        <v>1843</v>
      </c>
      <c r="B143" s="24" t="s">
        <v>1844</v>
      </c>
      <c r="C143" s="24" t="s">
        <v>1845</v>
      </c>
      <c r="D143" s="24" t="s">
        <v>1846</v>
      </c>
      <c r="E143" s="24" t="s">
        <v>1847</v>
      </c>
      <c r="F143" s="24" t="s">
        <v>1848</v>
      </c>
      <c r="G143" s="24" t="s">
        <v>1849</v>
      </c>
      <c r="H143" s="24" t="s">
        <v>1850</v>
      </c>
      <c r="I143" s="24" t="s">
        <v>1851</v>
      </c>
      <c r="J143" s="24" t="s">
        <v>625</v>
      </c>
      <c r="K143" s="24" t="s">
        <v>1852</v>
      </c>
      <c r="L143" s="24" t="s">
        <v>1853</v>
      </c>
      <c r="M143" s="24" t="s">
        <v>1854</v>
      </c>
      <c r="N143" s="24" t="s">
        <v>621</v>
      </c>
      <c r="O143" s="24" t="s">
        <v>621</v>
      </c>
      <c r="P143" s="24" t="s">
        <v>621</v>
      </c>
      <c r="Q143" s="24" t="s">
        <v>621</v>
      </c>
      <c r="R143" s="24" t="s">
        <v>621</v>
      </c>
      <c r="S143" s="24" t="s">
        <v>621</v>
      </c>
    </row>
    <row r="144" spans="1:19" x14ac:dyDescent="0.25">
      <c r="A144" s="24" t="s">
        <v>1855</v>
      </c>
      <c r="B144" s="24" t="s">
        <v>1856</v>
      </c>
      <c r="C144" s="24" t="s">
        <v>1857</v>
      </c>
      <c r="D144" s="24" t="s">
        <v>1689</v>
      </c>
      <c r="E144" s="24" t="s">
        <v>1858</v>
      </c>
      <c r="F144" s="24" t="s">
        <v>1859</v>
      </c>
      <c r="G144" s="24" t="s">
        <v>1860</v>
      </c>
      <c r="H144" s="24" t="s">
        <v>1861</v>
      </c>
      <c r="I144" s="24" t="s">
        <v>1862</v>
      </c>
      <c r="J144" s="24" t="s">
        <v>1695</v>
      </c>
      <c r="K144" s="24" t="s">
        <v>1863</v>
      </c>
      <c r="L144" s="24" t="s">
        <v>1864</v>
      </c>
      <c r="M144" s="24" t="s">
        <v>1698</v>
      </c>
      <c r="N144" s="24" t="s">
        <v>747</v>
      </c>
      <c r="O144" s="24" t="s">
        <v>1865</v>
      </c>
      <c r="P144" s="24" t="s">
        <v>1700</v>
      </c>
      <c r="Q144" s="24" t="s">
        <v>621</v>
      </c>
      <c r="R144" s="24" t="s">
        <v>621</v>
      </c>
      <c r="S144" s="24" t="s">
        <v>621</v>
      </c>
    </row>
    <row r="145" spans="1:19" x14ac:dyDescent="0.25">
      <c r="A145" s="24" t="s">
        <v>1866</v>
      </c>
      <c r="B145" s="24" t="s">
        <v>821</v>
      </c>
      <c r="C145" s="24" t="s">
        <v>1867</v>
      </c>
      <c r="D145" s="24" t="s">
        <v>1868</v>
      </c>
      <c r="E145" s="24" t="s">
        <v>1869</v>
      </c>
      <c r="F145" s="24" t="s">
        <v>1870</v>
      </c>
      <c r="G145" s="24" t="s">
        <v>619</v>
      </c>
      <c r="H145" s="24" t="s">
        <v>1871</v>
      </c>
      <c r="I145" s="24" t="s">
        <v>1872</v>
      </c>
      <c r="J145" s="24" t="s">
        <v>1873</v>
      </c>
      <c r="K145" s="24" t="s">
        <v>1874</v>
      </c>
      <c r="L145" s="24" t="s">
        <v>1875</v>
      </c>
      <c r="M145" s="24" t="s">
        <v>1876</v>
      </c>
      <c r="N145" s="24" t="s">
        <v>1877</v>
      </c>
      <c r="O145" s="24" t="s">
        <v>1854</v>
      </c>
      <c r="P145" s="24" t="s">
        <v>621</v>
      </c>
      <c r="Q145" s="24" t="s">
        <v>621</v>
      </c>
      <c r="R145" s="24" t="s">
        <v>621</v>
      </c>
      <c r="S145" s="24" t="s">
        <v>621</v>
      </c>
    </row>
    <row r="146" spans="1:19" x14ac:dyDescent="0.25">
      <c r="A146" s="24" t="s">
        <v>1878</v>
      </c>
      <c r="B146" s="24" t="s">
        <v>5119</v>
      </c>
      <c r="C146" s="24" t="s">
        <v>1879</v>
      </c>
      <c r="D146" s="24" t="s">
        <v>1880</v>
      </c>
      <c r="E146" s="24" t="s">
        <v>1881</v>
      </c>
      <c r="F146" s="24" t="s">
        <v>1882</v>
      </c>
      <c r="G146" s="24" t="s">
        <v>1883</v>
      </c>
      <c r="H146" s="24" t="s">
        <v>795</v>
      </c>
      <c r="I146" s="24" t="s">
        <v>1884</v>
      </c>
      <c r="J146" s="24" t="s">
        <v>1885</v>
      </c>
      <c r="K146" s="24" t="s">
        <v>1266</v>
      </c>
      <c r="L146" s="24" t="s">
        <v>794</v>
      </c>
      <c r="M146" s="24" t="s">
        <v>1886</v>
      </c>
      <c r="N146" s="24" t="s">
        <v>5124</v>
      </c>
      <c r="O146" s="24" t="s">
        <v>621</v>
      </c>
      <c r="P146" s="24" t="s">
        <v>621</v>
      </c>
      <c r="Q146" s="24" t="s">
        <v>621</v>
      </c>
      <c r="R146" s="24" t="s">
        <v>621</v>
      </c>
      <c r="S146" s="24" t="s">
        <v>621</v>
      </c>
    </row>
    <row r="147" spans="1:19" x14ac:dyDescent="0.25">
      <c r="A147" s="24" t="s">
        <v>1887</v>
      </c>
      <c r="B147" s="24" t="s">
        <v>1888</v>
      </c>
      <c r="C147" s="24" t="s">
        <v>5161</v>
      </c>
      <c r="D147" s="24" t="s">
        <v>1889</v>
      </c>
      <c r="E147" s="24" t="s">
        <v>1890</v>
      </c>
      <c r="F147" s="24" t="s">
        <v>1891</v>
      </c>
      <c r="G147" s="24" t="s">
        <v>1892</v>
      </c>
      <c r="H147" s="24" t="s">
        <v>5162</v>
      </c>
      <c r="I147" s="24" t="s">
        <v>5163</v>
      </c>
      <c r="J147" s="24" t="s">
        <v>1893</v>
      </c>
      <c r="K147" s="24" t="s">
        <v>921</v>
      </c>
      <c r="L147" s="24" t="s">
        <v>5164</v>
      </c>
      <c r="M147" s="24" t="s">
        <v>5165</v>
      </c>
      <c r="N147" s="24" t="s">
        <v>1894</v>
      </c>
      <c r="O147" s="24" t="s">
        <v>1895</v>
      </c>
      <c r="P147" s="24" t="s">
        <v>621</v>
      </c>
      <c r="Q147" s="24" t="s">
        <v>621</v>
      </c>
      <c r="R147" s="24" t="s">
        <v>621</v>
      </c>
      <c r="S147" s="24" t="s">
        <v>621</v>
      </c>
    </row>
    <row r="148" spans="1:19" x14ac:dyDescent="0.25">
      <c r="A148" s="24" t="s">
        <v>1896</v>
      </c>
      <c r="B148" s="24" t="s">
        <v>1888</v>
      </c>
      <c r="C148" s="24" t="s">
        <v>1897</v>
      </c>
      <c r="D148" s="24" t="s">
        <v>1898</v>
      </c>
      <c r="E148" s="24" t="s">
        <v>1899</v>
      </c>
      <c r="F148" s="24" t="s">
        <v>1892</v>
      </c>
      <c r="G148" s="24" t="s">
        <v>5162</v>
      </c>
      <c r="H148" s="24" t="s">
        <v>1900</v>
      </c>
      <c r="I148" s="24" t="s">
        <v>921</v>
      </c>
      <c r="J148" s="24" t="s">
        <v>1901</v>
      </c>
      <c r="K148" s="24" t="s">
        <v>5166</v>
      </c>
      <c r="L148" s="24" t="s">
        <v>5167</v>
      </c>
      <c r="M148" s="24" t="s">
        <v>1902</v>
      </c>
      <c r="N148" s="24" t="s">
        <v>1895</v>
      </c>
      <c r="O148" s="24" t="s">
        <v>1001</v>
      </c>
      <c r="P148" s="24" t="s">
        <v>1903</v>
      </c>
      <c r="Q148" s="24" t="s">
        <v>621</v>
      </c>
      <c r="R148" s="24" t="s">
        <v>621</v>
      </c>
      <c r="S148" s="24" t="s">
        <v>621</v>
      </c>
    </row>
    <row r="149" spans="1:19" x14ac:dyDescent="0.25">
      <c r="A149" s="24" t="s">
        <v>695</v>
      </c>
      <c r="B149" s="24" t="s">
        <v>5168</v>
      </c>
      <c r="C149" s="24" t="s">
        <v>4776</v>
      </c>
      <c r="D149" s="24" t="s">
        <v>1563</v>
      </c>
      <c r="E149" s="24" t="s">
        <v>1904</v>
      </c>
      <c r="F149" s="24" t="s">
        <v>5169</v>
      </c>
      <c r="G149" s="24" t="s">
        <v>1905</v>
      </c>
      <c r="H149" s="24" t="s">
        <v>1906</v>
      </c>
      <c r="I149" s="24" t="s">
        <v>1907</v>
      </c>
      <c r="J149" s="24" t="s">
        <v>4937</v>
      </c>
      <c r="K149" s="24" t="s">
        <v>5170</v>
      </c>
      <c r="L149" s="24" t="s">
        <v>4882</v>
      </c>
      <c r="M149" s="24" t="s">
        <v>5171</v>
      </c>
      <c r="N149" s="24" t="s">
        <v>5172</v>
      </c>
      <c r="O149" s="24" t="s">
        <v>1908</v>
      </c>
      <c r="P149" s="24" t="s">
        <v>621</v>
      </c>
      <c r="Q149" s="24" t="s">
        <v>621</v>
      </c>
      <c r="R149" s="24" t="s">
        <v>621</v>
      </c>
      <c r="S149" s="24" t="s">
        <v>621</v>
      </c>
    </row>
    <row r="150" spans="1:19" x14ac:dyDescent="0.25">
      <c r="A150" s="24" t="s">
        <v>696</v>
      </c>
      <c r="B150" s="24" t="s">
        <v>1909</v>
      </c>
      <c r="C150" s="24" t="s">
        <v>5173</v>
      </c>
      <c r="D150" s="24" t="s">
        <v>5174</v>
      </c>
      <c r="E150" s="24" t="s">
        <v>5175</v>
      </c>
      <c r="F150" s="24" t="s">
        <v>1910</v>
      </c>
      <c r="G150" s="24" t="s">
        <v>5105</v>
      </c>
      <c r="H150" s="24" t="s">
        <v>1911</v>
      </c>
      <c r="I150" s="24" t="s">
        <v>1912</v>
      </c>
      <c r="J150" s="24" t="s">
        <v>5176</v>
      </c>
      <c r="K150" s="24" t="s">
        <v>5107</v>
      </c>
      <c r="L150" s="24" t="s">
        <v>5108</v>
      </c>
      <c r="M150" s="24" t="s">
        <v>1913</v>
      </c>
      <c r="N150" s="24" t="s">
        <v>5110</v>
      </c>
      <c r="O150" s="24" t="s">
        <v>5111</v>
      </c>
      <c r="P150" s="24" t="s">
        <v>621</v>
      </c>
      <c r="Q150" s="24" t="s">
        <v>621</v>
      </c>
      <c r="R150" s="24" t="s">
        <v>621</v>
      </c>
      <c r="S150" s="24" t="s">
        <v>621</v>
      </c>
    </row>
    <row r="151" spans="1:19" x14ac:dyDescent="0.25">
      <c r="A151" s="24" t="s">
        <v>1914</v>
      </c>
      <c r="B151" s="24" t="s">
        <v>1844</v>
      </c>
      <c r="C151" s="24" t="s">
        <v>821</v>
      </c>
      <c r="D151" s="24" t="s">
        <v>820</v>
      </c>
      <c r="E151" s="24" t="s">
        <v>619</v>
      </c>
      <c r="F151" s="24" t="s">
        <v>1915</v>
      </c>
      <c r="G151" s="24" t="s">
        <v>787</v>
      </c>
      <c r="H151" s="24" t="s">
        <v>1916</v>
      </c>
      <c r="I151" s="24" t="s">
        <v>1917</v>
      </c>
      <c r="J151" s="24" t="s">
        <v>921</v>
      </c>
      <c r="K151" s="24" t="s">
        <v>786</v>
      </c>
      <c r="L151" s="24" t="s">
        <v>1918</v>
      </c>
      <c r="M151" s="24" t="s">
        <v>1853</v>
      </c>
      <c r="N151" s="24" t="s">
        <v>1854</v>
      </c>
      <c r="O151" s="24" t="s">
        <v>621</v>
      </c>
      <c r="P151" s="24" t="s">
        <v>621</v>
      </c>
      <c r="Q151" s="24" t="s">
        <v>621</v>
      </c>
      <c r="R151" s="24" t="s">
        <v>621</v>
      </c>
      <c r="S151" s="24" t="s">
        <v>621</v>
      </c>
    </row>
    <row r="152" spans="1:19" x14ac:dyDescent="0.25">
      <c r="A152" s="24" t="s">
        <v>1919</v>
      </c>
      <c r="B152" s="24" t="s">
        <v>1920</v>
      </c>
      <c r="C152" s="24" t="s">
        <v>1921</v>
      </c>
      <c r="D152" s="24" t="s">
        <v>1922</v>
      </c>
      <c r="E152" s="24" t="s">
        <v>1923</v>
      </c>
      <c r="F152" s="24" t="s">
        <v>757</v>
      </c>
      <c r="G152" s="24" t="s">
        <v>1924</v>
      </c>
      <c r="H152" s="24" t="s">
        <v>1925</v>
      </c>
      <c r="I152" s="24" t="s">
        <v>1926</v>
      </c>
      <c r="J152" s="24" t="s">
        <v>1927</v>
      </c>
      <c r="K152" s="24" t="s">
        <v>1928</v>
      </c>
      <c r="L152" s="24" t="s">
        <v>1929</v>
      </c>
      <c r="M152" s="24" t="s">
        <v>621</v>
      </c>
      <c r="N152" s="24" t="s">
        <v>621</v>
      </c>
      <c r="O152" s="24" t="s">
        <v>621</v>
      </c>
      <c r="P152" s="24" t="s">
        <v>621</v>
      </c>
      <c r="Q152" s="24" t="s">
        <v>621</v>
      </c>
      <c r="R152" s="24" t="s">
        <v>621</v>
      </c>
      <c r="S152" s="24" t="s">
        <v>621</v>
      </c>
    </row>
    <row r="153" spans="1:19" x14ac:dyDescent="0.25">
      <c r="A153" s="24" t="s">
        <v>1930</v>
      </c>
      <c r="B153" s="24" t="s">
        <v>1931</v>
      </c>
      <c r="C153" s="24" t="s">
        <v>5177</v>
      </c>
      <c r="D153" s="24" t="s">
        <v>5178</v>
      </c>
      <c r="E153" s="24" t="s">
        <v>1932</v>
      </c>
      <c r="F153" s="24" t="s">
        <v>1933</v>
      </c>
      <c r="G153" s="24" t="s">
        <v>1934</v>
      </c>
      <c r="H153" s="24" t="s">
        <v>1935</v>
      </c>
      <c r="I153" s="24" t="s">
        <v>5179</v>
      </c>
      <c r="J153" s="24" t="s">
        <v>5180</v>
      </c>
      <c r="K153" s="24" t="s">
        <v>5181</v>
      </c>
      <c r="L153" s="24" t="s">
        <v>1936</v>
      </c>
      <c r="M153" s="24" t="s">
        <v>5182</v>
      </c>
      <c r="N153" s="24" t="s">
        <v>621</v>
      </c>
      <c r="O153" s="24" t="s">
        <v>621</v>
      </c>
      <c r="P153" s="24" t="s">
        <v>621</v>
      </c>
      <c r="Q153" s="24" t="s">
        <v>621</v>
      </c>
      <c r="R153" s="24" t="s">
        <v>621</v>
      </c>
      <c r="S153" s="24" t="s">
        <v>621</v>
      </c>
    </row>
    <row r="154" spans="1:19" x14ac:dyDescent="0.25">
      <c r="A154" s="24" t="s">
        <v>1937</v>
      </c>
      <c r="B154" s="24" t="s">
        <v>5183</v>
      </c>
      <c r="C154" s="24" t="s">
        <v>1938</v>
      </c>
      <c r="D154" s="24" t="s">
        <v>5184</v>
      </c>
      <c r="E154" s="24" t="s">
        <v>1939</v>
      </c>
      <c r="F154" s="24" t="s">
        <v>5185</v>
      </c>
      <c r="G154" s="24" t="s">
        <v>1940</v>
      </c>
      <c r="H154" s="24" t="s">
        <v>1941</v>
      </c>
      <c r="I154" s="24" t="s">
        <v>1942</v>
      </c>
      <c r="J154" s="24" t="s">
        <v>1943</v>
      </c>
      <c r="K154" s="24" t="s">
        <v>4791</v>
      </c>
      <c r="L154" s="24" t="s">
        <v>1944</v>
      </c>
      <c r="M154" s="24" t="s">
        <v>5186</v>
      </c>
      <c r="N154" s="24" t="s">
        <v>1945</v>
      </c>
      <c r="O154" s="24" t="s">
        <v>5187</v>
      </c>
      <c r="P154" s="24" t="s">
        <v>621</v>
      </c>
      <c r="Q154" s="24" t="s">
        <v>621</v>
      </c>
      <c r="R154" s="24" t="s">
        <v>621</v>
      </c>
      <c r="S154" s="24" t="s">
        <v>621</v>
      </c>
    </row>
    <row r="155" spans="1:19" x14ac:dyDescent="0.25">
      <c r="A155" s="24" t="s">
        <v>1946</v>
      </c>
      <c r="B155" s="24" t="s">
        <v>5188</v>
      </c>
      <c r="C155" s="24" t="s">
        <v>5189</v>
      </c>
      <c r="D155" s="24" t="s">
        <v>1947</v>
      </c>
      <c r="E155" s="24" t="s">
        <v>5190</v>
      </c>
      <c r="F155" s="24" t="s">
        <v>5191</v>
      </c>
      <c r="G155" s="24" t="s">
        <v>5192</v>
      </c>
      <c r="H155" s="24" t="s">
        <v>1933</v>
      </c>
      <c r="I155" s="24" t="s">
        <v>1948</v>
      </c>
      <c r="J155" s="24" t="s">
        <v>1949</v>
      </c>
      <c r="K155" s="24" t="s">
        <v>5193</v>
      </c>
      <c r="L155" s="24" t="s">
        <v>747</v>
      </c>
      <c r="M155" s="24" t="s">
        <v>5194</v>
      </c>
      <c r="N155" s="24" t="s">
        <v>1950</v>
      </c>
      <c r="O155" s="24" t="s">
        <v>5195</v>
      </c>
      <c r="P155" s="24" t="s">
        <v>621</v>
      </c>
      <c r="Q155" s="24" t="s">
        <v>621</v>
      </c>
      <c r="R155" s="24" t="s">
        <v>621</v>
      </c>
      <c r="S155" s="24" t="s">
        <v>621</v>
      </c>
    </row>
    <row r="156" spans="1:19" x14ac:dyDescent="0.25">
      <c r="A156" s="24" t="s">
        <v>1951</v>
      </c>
      <c r="B156" s="24" t="s">
        <v>5196</v>
      </c>
      <c r="C156" s="24" t="s">
        <v>1952</v>
      </c>
      <c r="D156" s="24" t="s">
        <v>1953</v>
      </c>
      <c r="E156" s="24" t="s">
        <v>1954</v>
      </c>
      <c r="F156" s="24" t="s">
        <v>1955</v>
      </c>
      <c r="G156" s="24" t="s">
        <v>1956</v>
      </c>
      <c r="H156" s="24" t="s">
        <v>5197</v>
      </c>
      <c r="I156" s="24" t="s">
        <v>1957</v>
      </c>
      <c r="J156" s="24" t="s">
        <v>5198</v>
      </c>
      <c r="K156" s="24" t="s">
        <v>5199</v>
      </c>
      <c r="L156" s="24" t="s">
        <v>5200</v>
      </c>
      <c r="M156" s="24" t="s">
        <v>5201</v>
      </c>
      <c r="N156" s="24" t="s">
        <v>5202</v>
      </c>
      <c r="O156" s="24" t="s">
        <v>5203</v>
      </c>
      <c r="P156" s="24" t="s">
        <v>621</v>
      </c>
      <c r="Q156" s="24" t="s">
        <v>621</v>
      </c>
      <c r="R156" s="24" t="s">
        <v>621</v>
      </c>
      <c r="S156" s="24" t="s">
        <v>621</v>
      </c>
    </row>
    <row r="157" spans="1:19" x14ac:dyDescent="0.25">
      <c r="A157" s="24" t="s">
        <v>1958</v>
      </c>
      <c r="B157" s="24" t="s">
        <v>5204</v>
      </c>
      <c r="C157" s="24" t="s">
        <v>1931</v>
      </c>
      <c r="D157" s="24" t="s">
        <v>1959</v>
      </c>
      <c r="E157" s="24" t="s">
        <v>1933</v>
      </c>
      <c r="F157" s="24" t="s">
        <v>1960</v>
      </c>
      <c r="G157" s="24" t="s">
        <v>1961</v>
      </c>
      <c r="H157" s="24" t="s">
        <v>5179</v>
      </c>
      <c r="I157" s="24" t="s">
        <v>5205</v>
      </c>
      <c r="J157" s="24" t="s">
        <v>1962</v>
      </c>
      <c r="K157" s="24" t="s">
        <v>5206</v>
      </c>
      <c r="L157" s="24" t="s">
        <v>1963</v>
      </c>
      <c r="M157" s="24" t="s">
        <v>5182</v>
      </c>
      <c r="N157" s="24" t="s">
        <v>621</v>
      </c>
      <c r="O157" s="24" t="s">
        <v>621</v>
      </c>
      <c r="P157" s="24" t="s">
        <v>621</v>
      </c>
      <c r="Q157" s="24" t="s">
        <v>621</v>
      </c>
      <c r="R157" s="24" t="s">
        <v>621</v>
      </c>
      <c r="S157" s="24" t="s">
        <v>621</v>
      </c>
    </row>
    <row r="158" spans="1:19" x14ac:dyDescent="0.25">
      <c r="A158" s="24" t="s">
        <v>1964</v>
      </c>
      <c r="B158" s="24" t="s">
        <v>811</v>
      </c>
      <c r="C158" s="24" t="s">
        <v>1952</v>
      </c>
      <c r="D158" s="24" t="s">
        <v>5207</v>
      </c>
      <c r="E158" s="24" t="s">
        <v>1965</v>
      </c>
      <c r="F158" s="24" t="s">
        <v>1966</v>
      </c>
      <c r="G158" s="24" t="s">
        <v>1967</v>
      </c>
      <c r="H158" s="24" t="s">
        <v>1956</v>
      </c>
      <c r="I158" s="24" t="s">
        <v>5197</v>
      </c>
      <c r="J158" s="24" t="s">
        <v>1968</v>
      </c>
      <c r="K158" s="24" t="s">
        <v>5208</v>
      </c>
      <c r="L158" s="24" t="s">
        <v>5209</v>
      </c>
      <c r="M158" s="24" t="s">
        <v>5210</v>
      </c>
      <c r="N158" s="24" t="s">
        <v>621</v>
      </c>
      <c r="O158" s="24" t="s">
        <v>621</v>
      </c>
      <c r="P158" s="24" t="s">
        <v>621</v>
      </c>
      <c r="Q158" s="24" t="s">
        <v>621</v>
      </c>
      <c r="R158" s="24" t="s">
        <v>621</v>
      </c>
      <c r="S158" s="24" t="s">
        <v>621</v>
      </c>
    </row>
    <row r="159" spans="1:19" x14ac:dyDescent="0.25">
      <c r="A159" s="24" t="s">
        <v>697</v>
      </c>
      <c r="B159" s="24" t="s">
        <v>1969</v>
      </c>
      <c r="C159" s="24" t="s">
        <v>4907</v>
      </c>
      <c r="D159" s="24" t="s">
        <v>1970</v>
      </c>
      <c r="E159" s="24" t="s">
        <v>1971</v>
      </c>
      <c r="F159" s="24" t="s">
        <v>1972</v>
      </c>
      <c r="G159" s="24" t="s">
        <v>4621</v>
      </c>
      <c r="H159" s="24" t="s">
        <v>1973</v>
      </c>
      <c r="I159" s="24" t="s">
        <v>1974</v>
      </c>
      <c r="J159" s="24" t="s">
        <v>4623</v>
      </c>
      <c r="K159" s="24" t="s">
        <v>1975</v>
      </c>
      <c r="L159" s="24" t="s">
        <v>1976</v>
      </c>
      <c r="M159" s="24" t="s">
        <v>747</v>
      </c>
      <c r="N159" s="24" t="s">
        <v>1977</v>
      </c>
      <c r="O159" s="24" t="s">
        <v>1978</v>
      </c>
      <c r="P159" s="24" t="s">
        <v>621</v>
      </c>
      <c r="Q159" s="24" t="s">
        <v>621</v>
      </c>
      <c r="R159" s="24" t="s">
        <v>621</v>
      </c>
      <c r="S159" s="24" t="s">
        <v>621</v>
      </c>
    </row>
    <row r="160" spans="1:19" x14ac:dyDescent="0.25">
      <c r="A160" s="24" t="s">
        <v>698</v>
      </c>
      <c r="B160" s="24" t="s">
        <v>5211</v>
      </c>
      <c r="C160" s="24" t="s">
        <v>5212</v>
      </c>
      <c r="D160" s="24" t="s">
        <v>1979</v>
      </c>
      <c r="E160" s="24" t="s">
        <v>1980</v>
      </c>
      <c r="F160" s="24" t="s">
        <v>1981</v>
      </c>
      <c r="G160" s="24" t="s">
        <v>625</v>
      </c>
      <c r="H160" s="24" t="s">
        <v>1982</v>
      </c>
      <c r="I160" s="24" t="s">
        <v>5213</v>
      </c>
      <c r="J160" s="24" t="s">
        <v>5214</v>
      </c>
      <c r="K160" s="24" t="s">
        <v>1983</v>
      </c>
      <c r="L160" s="24" t="s">
        <v>747</v>
      </c>
      <c r="M160" s="24" t="s">
        <v>1984</v>
      </c>
      <c r="N160" s="24" t="s">
        <v>1985</v>
      </c>
      <c r="O160" s="24" t="s">
        <v>626</v>
      </c>
      <c r="P160" s="24" t="s">
        <v>5215</v>
      </c>
      <c r="Q160" s="24" t="s">
        <v>621</v>
      </c>
      <c r="R160" s="24" t="s">
        <v>621</v>
      </c>
      <c r="S160" s="24" t="s">
        <v>621</v>
      </c>
    </row>
    <row r="161" spans="1:19" x14ac:dyDescent="0.25">
      <c r="A161" s="24" t="s">
        <v>1986</v>
      </c>
      <c r="B161" s="24" t="s">
        <v>1987</v>
      </c>
      <c r="C161" s="24" t="s">
        <v>5216</v>
      </c>
      <c r="D161" s="24" t="s">
        <v>5217</v>
      </c>
      <c r="E161" s="24" t="s">
        <v>1988</v>
      </c>
      <c r="F161" s="24" t="s">
        <v>1989</v>
      </c>
      <c r="G161" s="24" t="s">
        <v>1990</v>
      </c>
      <c r="H161" s="24" t="s">
        <v>734</v>
      </c>
      <c r="I161" s="24" t="s">
        <v>5218</v>
      </c>
      <c r="J161" s="24" t="s">
        <v>5219</v>
      </c>
      <c r="K161" s="24" t="s">
        <v>1991</v>
      </c>
      <c r="L161" s="24" t="s">
        <v>1992</v>
      </c>
      <c r="M161" s="24" t="s">
        <v>1993</v>
      </c>
      <c r="N161" s="24" t="s">
        <v>5220</v>
      </c>
      <c r="O161" s="24" t="s">
        <v>1994</v>
      </c>
      <c r="P161" s="24" t="s">
        <v>5221</v>
      </c>
      <c r="Q161" s="24" t="s">
        <v>621</v>
      </c>
      <c r="R161" s="24" t="s">
        <v>621</v>
      </c>
      <c r="S161" s="24" t="s">
        <v>621</v>
      </c>
    </row>
    <row r="162" spans="1:19" x14ac:dyDescent="0.25">
      <c r="A162" s="24" t="s">
        <v>1995</v>
      </c>
      <c r="B162" s="24" t="s">
        <v>1996</v>
      </c>
      <c r="C162" s="24" t="s">
        <v>1997</v>
      </c>
      <c r="D162" s="24" t="s">
        <v>1998</v>
      </c>
      <c r="E162" s="24" t="s">
        <v>1999</v>
      </c>
      <c r="F162" s="24" t="s">
        <v>5222</v>
      </c>
      <c r="G162" s="24" t="s">
        <v>2000</v>
      </c>
      <c r="H162" s="24" t="s">
        <v>2001</v>
      </c>
      <c r="I162" s="24" t="s">
        <v>2002</v>
      </c>
      <c r="J162" s="24" t="s">
        <v>2003</v>
      </c>
      <c r="K162" s="24" t="s">
        <v>2004</v>
      </c>
      <c r="L162" s="24" t="s">
        <v>2005</v>
      </c>
      <c r="M162" s="24" t="s">
        <v>5223</v>
      </c>
      <c r="N162" s="24" t="s">
        <v>5224</v>
      </c>
      <c r="O162" s="24" t="s">
        <v>2006</v>
      </c>
      <c r="P162" s="24" t="s">
        <v>621</v>
      </c>
      <c r="Q162" s="24" t="s">
        <v>621</v>
      </c>
      <c r="R162" s="24" t="s">
        <v>621</v>
      </c>
      <c r="S162" s="24" t="s">
        <v>621</v>
      </c>
    </row>
    <row r="163" spans="1:19" x14ac:dyDescent="0.25">
      <c r="A163" s="24" t="s">
        <v>2007</v>
      </c>
      <c r="B163" s="24" t="s">
        <v>2008</v>
      </c>
      <c r="C163" s="24" t="s">
        <v>2009</v>
      </c>
      <c r="D163" s="24" t="s">
        <v>2010</v>
      </c>
      <c r="E163" s="24" t="s">
        <v>2011</v>
      </c>
      <c r="F163" s="24" t="s">
        <v>2012</v>
      </c>
      <c r="G163" s="24" t="s">
        <v>2013</v>
      </c>
      <c r="H163" s="24" t="s">
        <v>2014</v>
      </c>
      <c r="I163" s="24" t="s">
        <v>737</v>
      </c>
      <c r="J163" s="24" t="s">
        <v>2015</v>
      </c>
      <c r="K163" s="24" t="s">
        <v>2016</v>
      </c>
      <c r="L163" s="24" t="s">
        <v>621</v>
      </c>
      <c r="M163" s="24" t="s">
        <v>621</v>
      </c>
      <c r="N163" s="24" t="s">
        <v>621</v>
      </c>
      <c r="O163" s="24" t="s">
        <v>621</v>
      </c>
      <c r="P163" s="24" t="s">
        <v>621</v>
      </c>
      <c r="Q163" s="24" t="s">
        <v>621</v>
      </c>
      <c r="R163" s="24" t="s">
        <v>621</v>
      </c>
      <c r="S163" s="24" t="s">
        <v>621</v>
      </c>
    </row>
    <row r="164" spans="1:19" x14ac:dyDescent="0.25">
      <c r="A164" s="24" t="s">
        <v>699</v>
      </c>
      <c r="B164" s="24" t="s">
        <v>4640</v>
      </c>
      <c r="C164" s="24" t="s">
        <v>2017</v>
      </c>
      <c r="D164" s="24" t="s">
        <v>2018</v>
      </c>
      <c r="E164" s="24" t="s">
        <v>2019</v>
      </c>
      <c r="F164" s="24" t="s">
        <v>5225</v>
      </c>
      <c r="G164" s="24" t="s">
        <v>5226</v>
      </c>
      <c r="H164" s="24" t="s">
        <v>5227</v>
      </c>
      <c r="I164" s="24" t="s">
        <v>4642</v>
      </c>
      <c r="J164" s="24" t="s">
        <v>4646</v>
      </c>
      <c r="K164" s="24" t="s">
        <v>4647</v>
      </c>
      <c r="L164" s="24" t="s">
        <v>5228</v>
      </c>
      <c r="M164" s="24" t="s">
        <v>4648</v>
      </c>
      <c r="N164" s="24" t="s">
        <v>621</v>
      </c>
      <c r="O164" s="24" t="s">
        <v>621</v>
      </c>
      <c r="P164" s="24" t="s">
        <v>621</v>
      </c>
      <c r="Q164" s="24" t="s">
        <v>621</v>
      </c>
      <c r="R164" s="24" t="s">
        <v>621</v>
      </c>
      <c r="S164" s="24" t="s">
        <v>621</v>
      </c>
    </row>
    <row r="165" spans="1:19" x14ac:dyDescent="0.25">
      <c r="A165" s="24" t="s">
        <v>2020</v>
      </c>
      <c r="B165" s="24" t="s">
        <v>5229</v>
      </c>
      <c r="C165" s="24" t="s">
        <v>5230</v>
      </c>
      <c r="D165" s="24" t="s">
        <v>5231</v>
      </c>
      <c r="E165" s="24" t="s">
        <v>5232</v>
      </c>
      <c r="F165" s="24" t="s">
        <v>5233</v>
      </c>
      <c r="G165" s="24" t="s">
        <v>2021</v>
      </c>
      <c r="H165" s="24" t="s">
        <v>5234</v>
      </c>
      <c r="I165" s="24" t="s">
        <v>2022</v>
      </c>
      <c r="J165" s="24" t="s">
        <v>2023</v>
      </c>
      <c r="K165" s="24" t="s">
        <v>5235</v>
      </c>
      <c r="L165" s="24" t="s">
        <v>5236</v>
      </c>
      <c r="M165" s="24" t="s">
        <v>4763</v>
      </c>
      <c r="N165" s="24" t="s">
        <v>2024</v>
      </c>
      <c r="O165" s="24" t="s">
        <v>2025</v>
      </c>
      <c r="P165" s="24" t="s">
        <v>621</v>
      </c>
      <c r="Q165" s="24" t="s">
        <v>621</v>
      </c>
      <c r="R165" s="24" t="s">
        <v>621</v>
      </c>
      <c r="S165" s="24" t="s">
        <v>621</v>
      </c>
    </row>
    <row r="166" spans="1:19" x14ac:dyDescent="0.25">
      <c r="A166" s="24" t="s">
        <v>700</v>
      </c>
      <c r="B166" s="24" t="s">
        <v>2026</v>
      </c>
      <c r="C166" s="24" t="s">
        <v>2027</v>
      </c>
      <c r="D166" s="24" t="s">
        <v>2028</v>
      </c>
      <c r="E166" s="24" t="s">
        <v>2029</v>
      </c>
      <c r="F166" s="24" t="s">
        <v>4937</v>
      </c>
      <c r="G166" s="24" t="s">
        <v>4715</v>
      </c>
      <c r="H166" s="24" t="s">
        <v>5237</v>
      </c>
      <c r="I166" s="24" t="s">
        <v>5238</v>
      </c>
      <c r="J166" s="24" t="s">
        <v>4938</v>
      </c>
      <c r="K166" s="24" t="s">
        <v>4939</v>
      </c>
      <c r="L166" s="24" t="s">
        <v>2030</v>
      </c>
      <c r="M166" s="24" t="s">
        <v>5239</v>
      </c>
      <c r="N166" s="24" t="s">
        <v>621</v>
      </c>
      <c r="O166" s="24" t="s">
        <v>621</v>
      </c>
      <c r="P166" s="24" t="s">
        <v>621</v>
      </c>
      <c r="Q166" s="24" t="s">
        <v>621</v>
      </c>
      <c r="R166" s="24" t="s">
        <v>621</v>
      </c>
      <c r="S166" s="24" t="s">
        <v>621</v>
      </c>
    </row>
    <row r="167" spans="1:19" x14ac:dyDescent="0.25">
      <c r="A167" s="24" t="s">
        <v>701</v>
      </c>
      <c r="B167" s="24" t="s">
        <v>5240</v>
      </c>
      <c r="C167" s="24" t="s">
        <v>2031</v>
      </c>
      <c r="D167" s="24" t="s">
        <v>2032</v>
      </c>
      <c r="E167" s="24" t="s">
        <v>2033</v>
      </c>
      <c r="F167" s="24" t="s">
        <v>2034</v>
      </c>
      <c r="G167" s="24" t="s">
        <v>5241</v>
      </c>
      <c r="H167" s="24" t="s">
        <v>2035</v>
      </c>
      <c r="I167" s="24" t="s">
        <v>5242</v>
      </c>
      <c r="J167" s="24" t="s">
        <v>5243</v>
      </c>
      <c r="K167" s="24" t="s">
        <v>2036</v>
      </c>
      <c r="L167" s="24" t="s">
        <v>5244</v>
      </c>
      <c r="M167" s="24" t="s">
        <v>5245</v>
      </c>
      <c r="N167" s="24" t="s">
        <v>2037</v>
      </c>
      <c r="O167" s="24" t="s">
        <v>5246</v>
      </c>
      <c r="P167" s="24" t="s">
        <v>621</v>
      </c>
      <c r="Q167" s="24" t="s">
        <v>621</v>
      </c>
      <c r="R167" s="24" t="s">
        <v>621</v>
      </c>
      <c r="S167" s="24" t="s">
        <v>621</v>
      </c>
    </row>
    <row r="168" spans="1:19" x14ac:dyDescent="0.25">
      <c r="A168" s="24" t="s">
        <v>2038</v>
      </c>
      <c r="B168" s="24" t="s">
        <v>624</v>
      </c>
      <c r="C168" s="24" t="s">
        <v>2039</v>
      </c>
      <c r="D168" s="24" t="s">
        <v>2040</v>
      </c>
      <c r="E168" s="24" t="s">
        <v>2041</v>
      </c>
      <c r="F168" s="24" t="s">
        <v>2042</v>
      </c>
      <c r="G168" s="24" t="s">
        <v>2043</v>
      </c>
      <c r="H168" s="24" t="s">
        <v>2044</v>
      </c>
      <c r="I168" s="24" t="s">
        <v>737</v>
      </c>
      <c r="J168" s="24" t="s">
        <v>2045</v>
      </c>
      <c r="K168" s="24" t="s">
        <v>796</v>
      </c>
      <c r="L168" s="24" t="s">
        <v>797</v>
      </c>
      <c r="M168" s="24" t="s">
        <v>2046</v>
      </c>
      <c r="N168" s="24" t="s">
        <v>738</v>
      </c>
      <c r="O168" s="24" t="s">
        <v>621</v>
      </c>
      <c r="P168" s="24" t="s">
        <v>621</v>
      </c>
      <c r="Q168" s="24" t="s">
        <v>621</v>
      </c>
      <c r="R168" s="24" t="s">
        <v>621</v>
      </c>
      <c r="S168" s="24" t="s">
        <v>621</v>
      </c>
    </row>
    <row r="169" spans="1:19" x14ac:dyDescent="0.25">
      <c r="A169" s="24" t="s">
        <v>2047</v>
      </c>
      <c r="B169" s="24" t="s">
        <v>2048</v>
      </c>
      <c r="C169" s="24" t="s">
        <v>2049</v>
      </c>
      <c r="D169" s="24" t="s">
        <v>2050</v>
      </c>
      <c r="E169" s="24" t="s">
        <v>2051</v>
      </c>
      <c r="F169" s="24" t="s">
        <v>621</v>
      </c>
      <c r="G169" s="24" t="s">
        <v>621</v>
      </c>
      <c r="H169" s="24" t="s">
        <v>621</v>
      </c>
      <c r="I169" s="24" t="s">
        <v>621</v>
      </c>
      <c r="J169" s="24" t="s">
        <v>621</v>
      </c>
      <c r="K169" s="24" t="s">
        <v>621</v>
      </c>
      <c r="L169" s="24" t="s">
        <v>621</v>
      </c>
      <c r="M169" s="24" t="s">
        <v>621</v>
      </c>
      <c r="N169" s="24" t="s">
        <v>621</v>
      </c>
      <c r="O169" s="24" t="s">
        <v>621</v>
      </c>
      <c r="P169" s="24" t="s">
        <v>621</v>
      </c>
      <c r="Q169" s="24" t="s">
        <v>621</v>
      </c>
      <c r="R169" s="24" t="s">
        <v>621</v>
      </c>
      <c r="S169" s="24" t="s">
        <v>621</v>
      </c>
    </row>
    <row r="170" spans="1:19" x14ac:dyDescent="0.25">
      <c r="A170" s="24" t="s">
        <v>2052</v>
      </c>
      <c r="B170" s="24" t="s">
        <v>5247</v>
      </c>
      <c r="C170" s="24" t="s">
        <v>5248</v>
      </c>
      <c r="D170" s="24" t="s">
        <v>1021</v>
      </c>
      <c r="E170" s="24" t="s">
        <v>2053</v>
      </c>
      <c r="F170" s="24" t="s">
        <v>5249</v>
      </c>
      <c r="G170" s="24" t="s">
        <v>5250</v>
      </c>
      <c r="H170" s="24" t="s">
        <v>5251</v>
      </c>
      <c r="I170" s="24" t="s">
        <v>5252</v>
      </c>
      <c r="J170" s="24" t="s">
        <v>2054</v>
      </c>
      <c r="K170" s="24" t="s">
        <v>2055</v>
      </c>
      <c r="L170" s="24" t="s">
        <v>2056</v>
      </c>
      <c r="M170" s="24" t="s">
        <v>2057</v>
      </c>
      <c r="N170" s="24" t="s">
        <v>5253</v>
      </c>
      <c r="O170" s="24" t="s">
        <v>621</v>
      </c>
      <c r="P170" s="24" t="s">
        <v>621</v>
      </c>
      <c r="Q170" s="24" t="s">
        <v>621</v>
      </c>
      <c r="R170" s="24" t="s">
        <v>621</v>
      </c>
      <c r="S170" s="24" t="s">
        <v>621</v>
      </c>
    </row>
    <row r="171" spans="1:19" x14ac:dyDescent="0.25">
      <c r="A171" s="24" t="s">
        <v>2058</v>
      </c>
      <c r="B171" s="24" t="s">
        <v>2059</v>
      </c>
      <c r="C171" s="24" t="s">
        <v>2060</v>
      </c>
      <c r="D171" s="24" t="s">
        <v>2061</v>
      </c>
      <c r="E171" s="24" t="s">
        <v>2062</v>
      </c>
      <c r="F171" s="24" t="s">
        <v>2063</v>
      </c>
      <c r="G171" s="24" t="s">
        <v>2064</v>
      </c>
      <c r="H171" s="24" t="s">
        <v>2065</v>
      </c>
      <c r="I171" s="24" t="s">
        <v>2066</v>
      </c>
      <c r="J171" s="24" t="s">
        <v>2067</v>
      </c>
      <c r="K171" s="24" t="s">
        <v>2068</v>
      </c>
      <c r="L171" s="24" t="s">
        <v>2069</v>
      </c>
      <c r="M171" s="24" t="s">
        <v>2070</v>
      </c>
      <c r="N171" s="24" t="s">
        <v>2071</v>
      </c>
      <c r="O171" s="24" t="s">
        <v>2072</v>
      </c>
      <c r="P171" s="24" t="s">
        <v>621</v>
      </c>
      <c r="Q171" s="24" t="s">
        <v>621</v>
      </c>
      <c r="R171" s="24" t="s">
        <v>621</v>
      </c>
      <c r="S171" s="24" t="s">
        <v>621</v>
      </c>
    </row>
    <row r="172" spans="1:19" x14ac:dyDescent="0.25">
      <c r="A172" s="24" t="s">
        <v>2073</v>
      </c>
      <c r="B172" s="24" t="s">
        <v>1022</v>
      </c>
      <c r="C172" s="24" t="s">
        <v>1024</v>
      </c>
      <c r="D172" s="24" t="s">
        <v>2074</v>
      </c>
      <c r="E172" s="24" t="s">
        <v>2075</v>
      </c>
      <c r="F172" s="24" t="s">
        <v>2076</v>
      </c>
      <c r="G172" s="24" t="s">
        <v>2077</v>
      </c>
      <c r="H172" s="24" t="s">
        <v>2078</v>
      </c>
      <c r="I172" s="24" t="s">
        <v>2079</v>
      </c>
      <c r="J172" s="24" t="s">
        <v>2080</v>
      </c>
      <c r="K172" s="24" t="s">
        <v>2081</v>
      </c>
      <c r="L172" s="24" t="s">
        <v>2082</v>
      </c>
      <c r="M172" s="24" t="s">
        <v>2083</v>
      </c>
      <c r="N172" s="24" t="s">
        <v>621</v>
      </c>
      <c r="O172" s="24" t="s">
        <v>621</v>
      </c>
      <c r="P172" s="24" t="s">
        <v>621</v>
      </c>
      <c r="Q172" s="24" t="s">
        <v>621</v>
      </c>
      <c r="R172" s="24" t="s">
        <v>621</v>
      </c>
      <c r="S172" s="24" t="s">
        <v>621</v>
      </c>
    </row>
    <row r="173" spans="1:19" x14ac:dyDescent="0.25">
      <c r="A173" s="24" t="s">
        <v>2084</v>
      </c>
      <c r="B173" s="24" t="s">
        <v>2085</v>
      </c>
      <c r="C173" s="24" t="s">
        <v>2086</v>
      </c>
      <c r="D173" s="24" t="s">
        <v>2087</v>
      </c>
      <c r="E173" s="24" t="s">
        <v>905</v>
      </c>
      <c r="F173" s="24" t="s">
        <v>2088</v>
      </c>
      <c r="G173" s="24" t="s">
        <v>2089</v>
      </c>
      <c r="H173" s="24" t="s">
        <v>2090</v>
      </c>
      <c r="I173" s="24" t="s">
        <v>798</v>
      </c>
      <c r="J173" s="24" t="s">
        <v>2091</v>
      </c>
      <c r="K173" s="24" t="s">
        <v>2092</v>
      </c>
      <c r="L173" s="24" t="s">
        <v>2093</v>
      </c>
      <c r="M173" s="24" t="s">
        <v>757</v>
      </c>
      <c r="N173" s="24" t="s">
        <v>2046</v>
      </c>
      <c r="O173" s="24" t="s">
        <v>2094</v>
      </c>
      <c r="P173" s="24" t="s">
        <v>621</v>
      </c>
      <c r="Q173" s="24" t="s">
        <v>621</v>
      </c>
      <c r="R173" s="24" t="s">
        <v>621</v>
      </c>
      <c r="S173" s="24" t="s">
        <v>621</v>
      </c>
    </row>
    <row r="174" spans="1:19" x14ac:dyDescent="0.25">
      <c r="A174" s="24" t="s">
        <v>2095</v>
      </c>
      <c r="B174" s="24" t="s">
        <v>2096</v>
      </c>
      <c r="C174" s="24" t="s">
        <v>2097</v>
      </c>
      <c r="D174" s="24" t="s">
        <v>2098</v>
      </c>
      <c r="E174" s="24" t="s">
        <v>2099</v>
      </c>
      <c r="F174" s="24" t="s">
        <v>621</v>
      </c>
      <c r="G174" s="24" t="s">
        <v>621</v>
      </c>
      <c r="H174" s="24" t="s">
        <v>621</v>
      </c>
      <c r="I174" s="24" t="s">
        <v>621</v>
      </c>
      <c r="J174" s="24" t="s">
        <v>621</v>
      </c>
      <c r="K174" s="24" t="s">
        <v>621</v>
      </c>
      <c r="L174" s="24" t="s">
        <v>621</v>
      </c>
      <c r="M174" s="24" t="s">
        <v>621</v>
      </c>
      <c r="N174" s="24" t="s">
        <v>621</v>
      </c>
      <c r="O174" s="24" t="s">
        <v>621</v>
      </c>
      <c r="P174" s="24" t="s">
        <v>621</v>
      </c>
      <c r="Q174" s="24" t="s">
        <v>621</v>
      </c>
      <c r="R174" s="24" t="s">
        <v>621</v>
      </c>
      <c r="S174" s="24" t="s">
        <v>621</v>
      </c>
    </row>
    <row r="175" spans="1:19" x14ac:dyDescent="0.25">
      <c r="A175" s="24" t="s">
        <v>2100</v>
      </c>
      <c r="B175" s="24" t="s">
        <v>2101</v>
      </c>
      <c r="C175" s="24" t="s">
        <v>2102</v>
      </c>
      <c r="D175" s="24" t="s">
        <v>2103</v>
      </c>
      <c r="E175" s="24" t="s">
        <v>2104</v>
      </c>
      <c r="F175" s="24" t="s">
        <v>2105</v>
      </c>
      <c r="G175" s="24" t="s">
        <v>2106</v>
      </c>
      <c r="H175" s="24" t="s">
        <v>621</v>
      </c>
      <c r="I175" s="24" t="s">
        <v>621</v>
      </c>
      <c r="J175" s="24" t="s">
        <v>621</v>
      </c>
      <c r="K175" s="24" t="s">
        <v>621</v>
      </c>
      <c r="L175" s="24" t="s">
        <v>621</v>
      </c>
      <c r="M175" s="24" t="s">
        <v>621</v>
      </c>
      <c r="N175" s="24" t="s">
        <v>621</v>
      </c>
      <c r="O175" s="24" t="s">
        <v>621</v>
      </c>
      <c r="P175" s="24" t="s">
        <v>621</v>
      </c>
      <c r="Q175" s="24" t="s">
        <v>621</v>
      </c>
      <c r="R175" s="24" t="s">
        <v>621</v>
      </c>
      <c r="S175" s="24" t="s">
        <v>621</v>
      </c>
    </row>
    <row r="176" spans="1:19" x14ac:dyDescent="0.25">
      <c r="A176" s="24" t="s">
        <v>2107</v>
      </c>
      <c r="B176" s="24" t="s">
        <v>2108</v>
      </c>
      <c r="C176" s="24" t="s">
        <v>2109</v>
      </c>
      <c r="D176" s="24" t="s">
        <v>2110</v>
      </c>
      <c r="E176" s="24" t="s">
        <v>2111</v>
      </c>
      <c r="F176" s="24" t="s">
        <v>621</v>
      </c>
      <c r="G176" s="24" t="s">
        <v>621</v>
      </c>
      <c r="H176" s="24" t="s">
        <v>621</v>
      </c>
      <c r="I176" s="24" t="s">
        <v>621</v>
      </c>
      <c r="J176" s="24" t="s">
        <v>621</v>
      </c>
      <c r="K176" s="24" t="s">
        <v>621</v>
      </c>
      <c r="L176" s="24" t="s">
        <v>621</v>
      </c>
      <c r="M176" s="24" t="s">
        <v>621</v>
      </c>
      <c r="N176" s="24" t="s">
        <v>621</v>
      </c>
      <c r="O176" s="24" t="s">
        <v>621</v>
      </c>
      <c r="P176" s="24" t="s">
        <v>621</v>
      </c>
      <c r="Q176" s="24" t="s">
        <v>621</v>
      </c>
      <c r="R176" s="24" t="s">
        <v>621</v>
      </c>
      <c r="S176" s="24" t="s">
        <v>621</v>
      </c>
    </row>
    <row r="177" spans="1:19" x14ac:dyDescent="0.25">
      <c r="A177" s="24" t="s">
        <v>702</v>
      </c>
      <c r="B177" s="24" t="s">
        <v>4776</v>
      </c>
      <c r="C177" s="24" t="s">
        <v>5169</v>
      </c>
      <c r="D177" s="24" t="s">
        <v>2112</v>
      </c>
      <c r="E177" s="24" t="s">
        <v>2113</v>
      </c>
      <c r="F177" s="24" t="s">
        <v>2114</v>
      </c>
      <c r="G177" s="24" t="s">
        <v>4937</v>
      </c>
      <c r="H177" s="24" t="s">
        <v>5254</v>
      </c>
      <c r="I177" s="24" t="s">
        <v>4882</v>
      </c>
      <c r="J177" s="24" t="s">
        <v>2115</v>
      </c>
      <c r="K177" s="24" t="s">
        <v>5171</v>
      </c>
      <c r="L177" s="24" t="s">
        <v>5255</v>
      </c>
      <c r="M177" s="24" t="s">
        <v>5256</v>
      </c>
      <c r="N177" s="24" t="s">
        <v>2116</v>
      </c>
      <c r="O177" s="24" t="s">
        <v>2117</v>
      </c>
      <c r="P177" s="24" t="s">
        <v>621</v>
      </c>
      <c r="Q177" s="24" t="s">
        <v>621</v>
      </c>
      <c r="R177" s="24" t="s">
        <v>621</v>
      </c>
      <c r="S177" s="24" t="s">
        <v>621</v>
      </c>
    </row>
    <row r="178" spans="1:19" x14ac:dyDescent="0.25">
      <c r="A178" s="24" t="s">
        <v>2118</v>
      </c>
      <c r="B178" s="24" t="s">
        <v>5257</v>
      </c>
      <c r="C178" s="24" t="s">
        <v>2119</v>
      </c>
      <c r="D178" s="24" t="s">
        <v>5084</v>
      </c>
      <c r="E178" s="24" t="s">
        <v>5085</v>
      </c>
      <c r="F178" s="24" t="s">
        <v>2120</v>
      </c>
      <c r="G178" s="24" t="s">
        <v>2121</v>
      </c>
      <c r="H178" s="24" t="s">
        <v>2122</v>
      </c>
      <c r="I178" s="24" t="s">
        <v>5258</v>
      </c>
      <c r="J178" s="24" t="s">
        <v>4837</v>
      </c>
      <c r="K178" s="24" t="s">
        <v>2115</v>
      </c>
      <c r="L178" s="24" t="s">
        <v>2123</v>
      </c>
      <c r="M178" s="24" t="s">
        <v>4839</v>
      </c>
      <c r="N178" s="24" t="s">
        <v>621</v>
      </c>
      <c r="O178" s="24" t="s">
        <v>621</v>
      </c>
      <c r="P178" s="24" t="s">
        <v>621</v>
      </c>
      <c r="Q178" s="24" t="s">
        <v>621</v>
      </c>
      <c r="R178" s="24" t="s">
        <v>621</v>
      </c>
      <c r="S178" s="24" t="s">
        <v>621</v>
      </c>
    </row>
  </sheetData>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K803"/>
  <sheetViews>
    <sheetView workbookViewId="0"/>
  </sheetViews>
  <sheetFormatPr baseColWidth="10" defaultColWidth="10.85546875" defaultRowHeight="15.75" x14ac:dyDescent="0.25"/>
  <cols>
    <col min="1" max="1" width="26.7109375" style="20" customWidth="1"/>
    <col min="2" max="2" width="10.85546875" style="22" customWidth="1"/>
    <col min="3" max="11" width="10.85546875" style="20" customWidth="1"/>
    <col min="12" max="16384" width="10.85546875" style="20"/>
  </cols>
  <sheetData>
    <row r="1" spans="1:11" x14ac:dyDescent="0.25">
      <c r="A1" s="29" t="s">
        <v>5480</v>
      </c>
      <c r="B1" s="29">
        <v>1</v>
      </c>
      <c r="C1" s="29">
        <v>2</v>
      </c>
      <c r="D1" s="29">
        <v>3</v>
      </c>
      <c r="E1" s="29">
        <v>4</v>
      </c>
      <c r="F1" s="29">
        <v>5</v>
      </c>
      <c r="G1" s="29">
        <v>6</v>
      </c>
      <c r="H1" s="29">
        <v>7</v>
      </c>
      <c r="I1" s="29">
        <v>8</v>
      </c>
      <c r="J1" s="29">
        <v>9</v>
      </c>
      <c r="K1" s="29">
        <v>10</v>
      </c>
    </row>
    <row r="2" spans="1:11" x14ac:dyDescent="0.25">
      <c r="A2" s="20" t="s">
        <v>2756</v>
      </c>
      <c r="B2" s="21" t="s">
        <v>2757</v>
      </c>
      <c r="C2" s="21" t="s">
        <v>2758</v>
      </c>
      <c r="D2" s="21" t="s">
        <v>2759</v>
      </c>
      <c r="E2" s="21" t="s">
        <v>2760</v>
      </c>
      <c r="F2" s="21" t="s">
        <v>2761</v>
      </c>
      <c r="G2" s="21" t="s">
        <v>621</v>
      </c>
      <c r="H2" s="21" t="s">
        <v>621</v>
      </c>
      <c r="I2" s="21" t="s">
        <v>621</v>
      </c>
      <c r="J2" s="21" t="s">
        <v>621</v>
      </c>
      <c r="K2" s="21" t="s">
        <v>621</v>
      </c>
    </row>
    <row r="3" spans="1:11" x14ac:dyDescent="0.25">
      <c r="A3" s="20" t="s">
        <v>2762</v>
      </c>
      <c r="B3" s="21" t="s">
        <v>2763</v>
      </c>
      <c r="C3" s="21" t="s">
        <v>621</v>
      </c>
      <c r="D3" s="21" t="s">
        <v>621</v>
      </c>
      <c r="E3" s="21" t="s">
        <v>621</v>
      </c>
      <c r="F3" s="21" t="s">
        <v>621</v>
      </c>
      <c r="G3" s="21" t="s">
        <v>621</v>
      </c>
      <c r="H3" s="21" t="s">
        <v>621</v>
      </c>
      <c r="I3" s="21" t="s">
        <v>621</v>
      </c>
      <c r="J3" s="21" t="s">
        <v>621</v>
      </c>
      <c r="K3" s="21" t="s">
        <v>621</v>
      </c>
    </row>
    <row r="4" spans="1:11" x14ac:dyDescent="0.25">
      <c r="A4" s="20" t="s">
        <v>2764</v>
      </c>
      <c r="B4" s="21" t="s">
        <v>2763</v>
      </c>
      <c r="C4" s="21" t="s">
        <v>621</v>
      </c>
      <c r="D4" s="21" t="s">
        <v>621</v>
      </c>
      <c r="E4" s="21" t="s">
        <v>621</v>
      </c>
      <c r="F4" s="21" t="s">
        <v>621</v>
      </c>
      <c r="G4" s="21" t="s">
        <v>621</v>
      </c>
      <c r="H4" s="21" t="s">
        <v>621</v>
      </c>
      <c r="I4" s="21" t="s">
        <v>621</v>
      </c>
      <c r="J4" s="21" t="s">
        <v>621</v>
      </c>
      <c r="K4" s="21" t="s">
        <v>621</v>
      </c>
    </row>
    <row r="5" spans="1:11" x14ac:dyDescent="0.25">
      <c r="A5" s="20" t="s">
        <v>2765</v>
      </c>
      <c r="B5" s="21" t="s">
        <v>2763</v>
      </c>
      <c r="C5" s="21" t="s">
        <v>621</v>
      </c>
      <c r="D5" s="21" t="s">
        <v>621</v>
      </c>
      <c r="E5" s="21" t="s">
        <v>621</v>
      </c>
      <c r="F5" s="21" t="s">
        <v>621</v>
      </c>
      <c r="G5" s="21" t="s">
        <v>621</v>
      </c>
      <c r="H5" s="21" t="s">
        <v>621</v>
      </c>
      <c r="I5" s="21" t="s">
        <v>621</v>
      </c>
      <c r="J5" s="21" t="s">
        <v>621</v>
      </c>
      <c r="K5" s="21" t="s">
        <v>621</v>
      </c>
    </row>
    <row r="6" spans="1:11" x14ac:dyDescent="0.25">
      <c r="A6" s="20" t="s">
        <v>2766</v>
      </c>
      <c r="B6" s="21" t="s">
        <v>2767</v>
      </c>
      <c r="C6" s="21" t="s">
        <v>621</v>
      </c>
      <c r="D6" s="21" t="s">
        <v>621</v>
      </c>
      <c r="E6" s="21" t="s">
        <v>621</v>
      </c>
      <c r="F6" s="21" t="s">
        <v>621</v>
      </c>
      <c r="G6" s="21" t="s">
        <v>621</v>
      </c>
      <c r="H6" s="21" t="s">
        <v>621</v>
      </c>
      <c r="I6" s="21" t="s">
        <v>621</v>
      </c>
      <c r="J6" s="21" t="s">
        <v>621</v>
      </c>
      <c r="K6" s="21" t="s">
        <v>621</v>
      </c>
    </row>
    <row r="7" spans="1:11" x14ac:dyDescent="0.25">
      <c r="A7" s="20" t="s">
        <v>2768</v>
      </c>
      <c r="B7" s="21" t="s">
        <v>2769</v>
      </c>
      <c r="C7" s="21" t="s">
        <v>621</v>
      </c>
      <c r="D7" s="21" t="s">
        <v>621</v>
      </c>
      <c r="E7" s="21" t="s">
        <v>621</v>
      </c>
      <c r="F7" s="21" t="s">
        <v>621</v>
      </c>
      <c r="G7" s="21" t="s">
        <v>621</v>
      </c>
      <c r="H7" s="21" t="s">
        <v>621</v>
      </c>
      <c r="I7" s="21" t="s">
        <v>621</v>
      </c>
      <c r="J7" s="21" t="s">
        <v>621</v>
      </c>
      <c r="K7" s="21" t="s">
        <v>621</v>
      </c>
    </row>
    <row r="8" spans="1:11" x14ac:dyDescent="0.25">
      <c r="A8" s="20" t="s">
        <v>2770</v>
      </c>
      <c r="B8" s="21" t="s">
        <v>2771</v>
      </c>
      <c r="C8" s="21" t="s">
        <v>2772</v>
      </c>
      <c r="D8" s="21" t="s">
        <v>2773</v>
      </c>
      <c r="E8" s="21" t="s">
        <v>621</v>
      </c>
      <c r="F8" s="21" t="s">
        <v>621</v>
      </c>
      <c r="G8" s="21" t="s">
        <v>621</v>
      </c>
      <c r="H8" s="21" t="s">
        <v>621</v>
      </c>
      <c r="I8" s="21" t="s">
        <v>621</v>
      </c>
      <c r="J8" s="21" t="s">
        <v>621</v>
      </c>
      <c r="K8" s="21" t="s">
        <v>621</v>
      </c>
    </row>
    <row r="9" spans="1:11" x14ac:dyDescent="0.25">
      <c r="A9" s="20" t="s">
        <v>2774</v>
      </c>
      <c r="B9" s="21" t="s">
        <v>2763</v>
      </c>
      <c r="C9" s="21" t="s">
        <v>621</v>
      </c>
      <c r="D9" s="21" t="s">
        <v>621</v>
      </c>
      <c r="E9" s="21" t="s">
        <v>621</v>
      </c>
      <c r="F9" s="21" t="s">
        <v>621</v>
      </c>
      <c r="G9" s="21" t="s">
        <v>621</v>
      </c>
      <c r="H9" s="21" t="s">
        <v>621</v>
      </c>
      <c r="I9" s="21" t="s">
        <v>621</v>
      </c>
      <c r="J9" s="21" t="s">
        <v>621</v>
      </c>
      <c r="K9" s="21" t="s">
        <v>621</v>
      </c>
    </row>
    <row r="10" spans="1:11" x14ac:dyDescent="0.25">
      <c r="A10" s="20" t="s">
        <v>2775</v>
      </c>
      <c r="B10" s="21" t="s">
        <v>2776</v>
      </c>
      <c r="C10" s="21" t="s">
        <v>2777</v>
      </c>
      <c r="D10" s="21" t="s">
        <v>2778</v>
      </c>
      <c r="E10" s="21" t="s">
        <v>2779</v>
      </c>
      <c r="F10" s="21" t="s">
        <v>2780</v>
      </c>
      <c r="G10" s="21" t="s">
        <v>621</v>
      </c>
      <c r="H10" s="21" t="s">
        <v>621</v>
      </c>
      <c r="I10" s="21" t="s">
        <v>621</v>
      </c>
      <c r="J10" s="21" t="s">
        <v>621</v>
      </c>
      <c r="K10" s="21" t="s">
        <v>621</v>
      </c>
    </row>
    <row r="11" spans="1:11" x14ac:dyDescent="0.25">
      <c r="A11" s="20" t="s">
        <v>2781</v>
      </c>
      <c r="B11" s="21" t="s">
        <v>2782</v>
      </c>
      <c r="C11" s="21" t="s">
        <v>621</v>
      </c>
      <c r="D11" s="21" t="s">
        <v>621</v>
      </c>
      <c r="E11" s="21" t="s">
        <v>621</v>
      </c>
      <c r="F11" s="21" t="s">
        <v>621</v>
      </c>
      <c r="G11" s="21" t="s">
        <v>621</v>
      </c>
      <c r="H11" s="21" t="s">
        <v>621</v>
      </c>
      <c r="I11" s="21" t="s">
        <v>621</v>
      </c>
      <c r="J11" s="21" t="s">
        <v>621</v>
      </c>
      <c r="K11" s="21" t="s">
        <v>621</v>
      </c>
    </row>
    <row r="12" spans="1:11" x14ac:dyDescent="0.25">
      <c r="A12" s="20" t="s">
        <v>2783</v>
      </c>
      <c r="B12" s="21" t="s">
        <v>2784</v>
      </c>
      <c r="C12" s="21" t="s">
        <v>2785</v>
      </c>
      <c r="D12" s="21" t="s">
        <v>2786</v>
      </c>
      <c r="E12" s="21" t="s">
        <v>621</v>
      </c>
      <c r="F12" s="21" t="s">
        <v>621</v>
      </c>
      <c r="G12" s="21" t="s">
        <v>621</v>
      </c>
      <c r="H12" s="21" t="s">
        <v>621</v>
      </c>
      <c r="I12" s="21" t="s">
        <v>621</v>
      </c>
      <c r="J12" s="21" t="s">
        <v>621</v>
      </c>
      <c r="K12" s="21" t="s">
        <v>621</v>
      </c>
    </row>
    <row r="13" spans="1:11" x14ac:dyDescent="0.25">
      <c r="A13" s="20" t="s">
        <v>2787</v>
      </c>
      <c r="B13" s="21" t="s">
        <v>2784</v>
      </c>
      <c r="C13" s="21" t="s">
        <v>2785</v>
      </c>
      <c r="D13" s="21" t="s">
        <v>2786</v>
      </c>
      <c r="E13" s="21" t="s">
        <v>621</v>
      </c>
      <c r="F13" s="21" t="s">
        <v>621</v>
      </c>
      <c r="G13" s="21" t="s">
        <v>621</v>
      </c>
      <c r="H13" s="21" t="s">
        <v>621</v>
      </c>
      <c r="I13" s="21" t="s">
        <v>621</v>
      </c>
      <c r="J13" s="21" t="s">
        <v>621</v>
      </c>
      <c r="K13" s="21" t="s">
        <v>621</v>
      </c>
    </row>
    <row r="14" spans="1:11" x14ac:dyDescent="0.25">
      <c r="A14" s="20" t="s">
        <v>2788</v>
      </c>
      <c r="B14" s="21" t="s">
        <v>2789</v>
      </c>
      <c r="C14" s="21" t="s">
        <v>621</v>
      </c>
      <c r="D14" s="21" t="s">
        <v>621</v>
      </c>
      <c r="E14" s="21" t="s">
        <v>621</v>
      </c>
      <c r="F14" s="21" t="s">
        <v>621</v>
      </c>
      <c r="G14" s="21" t="s">
        <v>621</v>
      </c>
      <c r="H14" s="21" t="s">
        <v>621</v>
      </c>
      <c r="I14" s="21" t="s">
        <v>621</v>
      </c>
      <c r="J14" s="21" t="s">
        <v>621</v>
      </c>
      <c r="K14" s="21" t="s">
        <v>621</v>
      </c>
    </row>
    <row r="15" spans="1:11" x14ac:dyDescent="0.25">
      <c r="A15" s="20" t="s">
        <v>2790</v>
      </c>
      <c r="B15" s="21" t="s">
        <v>2791</v>
      </c>
      <c r="C15" s="21" t="s">
        <v>621</v>
      </c>
      <c r="D15" s="21" t="s">
        <v>621</v>
      </c>
      <c r="E15" s="21" t="s">
        <v>621</v>
      </c>
      <c r="F15" s="21" t="s">
        <v>621</v>
      </c>
      <c r="G15" s="21" t="s">
        <v>621</v>
      </c>
      <c r="H15" s="21" t="s">
        <v>621</v>
      </c>
      <c r="I15" s="21" t="s">
        <v>621</v>
      </c>
      <c r="J15" s="21" t="s">
        <v>621</v>
      </c>
      <c r="K15" s="21" t="s">
        <v>621</v>
      </c>
    </row>
    <row r="16" spans="1:11" x14ac:dyDescent="0.25">
      <c r="A16" s="20" t="s">
        <v>2792</v>
      </c>
      <c r="B16" s="21" t="s">
        <v>2793</v>
      </c>
      <c r="C16" s="21" t="s">
        <v>2794</v>
      </c>
      <c r="D16" s="21" t="s">
        <v>621</v>
      </c>
      <c r="E16" s="21" t="s">
        <v>621</v>
      </c>
      <c r="F16" s="21" t="s">
        <v>621</v>
      </c>
      <c r="G16" s="21" t="s">
        <v>621</v>
      </c>
      <c r="H16" s="21" t="s">
        <v>621</v>
      </c>
      <c r="I16" s="21" t="s">
        <v>621</v>
      </c>
      <c r="J16" s="21" t="s">
        <v>621</v>
      </c>
      <c r="K16" s="21" t="s">
        <v>621</v>
      </c>
    </row>
    <row r="17" spans="1:11" x14ac:dyDescent="0.25">
      <c r="A17" s="20" t="s">
        <v>2795</v>
      </c>
      <c r="B17" s="21" t="s">
        <v>2796</v>
      </c>
      <c r="C17" s="21" t="s">
        <v>621</v>
      </c>
      <c r="D17" s="21" t="s">
        <v>621</v>
      </c>
      <c r="E17" s="21" t="s">
        <v>621</v>
      </c>
      <c r="F17" s="21" t="s">
        <v>621</v>
      </c>
      <c r="G17" s="21" t="s">
        <v>621</v>
      </c>
      <c r="H17" s="21" t="s">
        <v>621</v>
      </c>
      <c r="I17" s="21" t="s">
        <v>621</v>
      </c>
      <c r="J17" s="21" t="s">
        <v>621</v>
      </c>
      <c r="K17" s="21" t="s">
        <v>621</v>
      </c>
    </row>
    <row r="18" spans="1:11" x14ac:dyDescent="0.25">
      <c r="A18" s="20" t="s">
        <v>2797</v>
      </c>
      <c r="B18" s="21" t="s">
        <v>2798</v>
      </c>
      <c r="C18" s="21" t="s">
        <v>621</v>
      </c>
      <c r="D18" s="21" t="s">
        <v>621</v>
      </c>
      <c r="E18" s="21" t="s">
        <v>621</v>
      </c>
      <c r="F18" s="21" t="s">
        <v>621</v>
      </c>
      <c r="G18" s="21" t="s">
        <v>621</v>
      </c>
      <c r="H18" s="21" t="s">
        <v>621</v>
      </c>
      <c r="I18" s="21" t="s">
        <v>621</v>
      </c>
      <c r="J18" s="21" t="s">
        <v>621</v>
      </c>
      <c r="K18" s="21" t="s">
        <v>621</v>
      </c>
    </row>
    <row r="19" spans="1:11" x14ac:dyDescent="0.25">
      <c r="A19" s="20" t="s">
        <v>2799</v>
      </c>
      <c r="B19" s="21" t="s">
        <v>2789</v>
      </c>
      <c r="C19" s="21" t="s">
        <v>621</v>
      </c>
      <c r="D19" s="21" t="s">
        <v>621</v>
      </c>
      <c r="E19" s="21" t="s">
        <v>621</v>
      </c>
      <c r="F19" s="21" t="s">
        <v>621</v>
      </c>
      <c r="G19" s="21" t="s">
        <v>621</v>
      </c>
      <c r="H19" s="21" t="s">
        <v>621</v>
      </c>
      <c r="I19" s="21" t="s">
        <v>621</v>
      </c>
      <c r="J19" s="21" t="s">
        <v>621</v>
      </c>
      <c r="K19" s="21" t="s">
        <v>621</v>
      </c>
    </row>
    <row r="20" spans="1:11" x14ac:dyDescent="0.25">
      <c r="A20" s="20" t="s">
        <v>2800</v>
      </c>
      <c r="B20" s="21" t="s">
        <v>2801</v>
      </c>
      <c r="C20" s="21" t="s">
        <v>621</v>
      </c>
      <c r="D20" s="21" t="s">
        <v>621</v>
      </c>
      <c r="E20" s="21" t="s">
        <v>621</v>
      </c>
      <c r="F20" s="21" t="s">
        <v>621</v>
      </c>
      <c r="G20" s="21" t="s">
        <v>621</v>
      </c>
      <c r="H20" s="21" t="s">
        <v>621</v>
      </c>
      <c r="I20" s="21" t="s">
        <v>621</v>
      </c>
      <c r="J20" s="21" t="s">
        <v>621</v>
      </c>
      <c r="K20" s="21" t="s">
        <v>621</v>
      </c>
    </row>
    <row r="21" spans="1:11" x14ac:dyDescent="0.25">
      <c r="A21" s="20" t="s">
        <v>2802</v>
      </c>
      <c r="B21" s="21" t="s">
        <v>2801</v>
      </c>
      <c r="C21" s="21" t="s">
        <v>621</v>
      </c>
      <c r="D21" s="21" t="s">
        <v>621</v>
      </c>
      <c r="E21" s="21" t="s">
        <v>621</v>
      </c>
      <c r="F21" s="21" t="s">
        <v>621</v>
      </c>
      <c r="G21" s="21" t="s">
        <v>621</v>
      </c>
      <c r="H21" s="21" t="s">
        <v>621</v>
      </c>
      <c r="I21" s="21" t="s">
        <v>621</v>
      </c>
      <c r="J21" s="21" t="s">
        <v>621</v>
      </c>
      <c r="K21" s="21" t="s">
        <v>621</v>
      </c>
    </row>
    <row r="22" spans="1:11" x14ac:dyDescent="0.25">
      <c r="A22" s="20" t="s">
        <v>2803</v>
      </c>
      <c r="B22" s="21" t="s">
        <v>2804</v>
      </c>
      <c r="C22" s="21" t="s">
        <v>621</v>
      </c>
      <c r="D22" s="21" t="s">
        <v>621</v>
      </c>
      <c r="E22" s="21" t="s">
        <v>621</v>
      </c>
      <c r="F22" s="21" t="s">
        <v>621</v>
      </c>
      <c r="G22" s="21" t="s">
        <v>621</v>
      </c>
      <c r="H22" s="21" t="s">
        <v>621</v>
      </c>
      <c r="I22" s="21" t="s">
        <v>621</v>
      </c>
      <c r="J22" s="21" t="s">
        <v>621</v>
      </c>
      <c r="K22" s="21" t="s">
        <v>621</v>
      </c>
    </row>
    <row r="23" spans="1:11" x14ac:dyDescent="0.25">
      <c r="A23" s="20" t="s">
        <v>2805</v>
      </c>
      <c r="B23" s="21" t="s">
        <v>2806</v>
      </c>
      <c r="C23" s="21" t="s">
        <v>621</v>
      </c>
      <c r="D23" s="21" t="s">
        <v>621</v>
      </c>
      <c r="E23" s="21" t="s">
        <v>621</v>
      </c>
      <c r="F23" s="21" t="s">
        <v>621</v>
      </c>
      <c r="G23" s="21" t="s">
        <v>621</v>
      </c>
      <c r="H23" s="21" t="s">
        <v>621</v>
      </c>
      <c r="I23" s="21" t="s">
        <v>621</v>
      </c>
      <c r="J23" s="21" t="s">
        <v>621</v>
      </c>
      <c r="K23" s="21" t="s">
        <v>621</v>
      </c>
    </row>
    <row r="24" spans="1:11" x14ac:dyDescent="0.25">
      <c r="A24" s="20" t="s">
        <v>2807</v>
      </c>
      <c r="B24" s="21" t="s">
        <v>2808</v>
      </c>
      <c r="C24" s="21" t="s">
        <v>621</v>
      </c>
      <c r="D24" s="21" t="s">
        <v>621</v>
      </c>
      <c r="E24" s="21" t="s">
        <v>621</v>
      </c>
      <c r="F24" s="21" t="s">
        <v>621</v>
      </c>
      <c r="G24" s="21" t="s">
        <v>621</v>
      </c>
      <c r="H24" s="21" t="s">
        <v>621</v>
      </c>
      <c r="I24" s="21" t="s">
        <v>621</v>
      </c>
      <c r="J24" s="21" t="s">
        <v>621</v>
      </c>
      <c r="K24" s="21" t="s">
        <v>621</v>
      </c>
    </row>
    <row r="25" spans="1:11" x14ac:dyDescent="0.25">
      <c r="A25" s="20" t="s">
        <v>2436</v>
      </c>
      <c r="B25" s="21" t="s">
        <v>2437</v>
      </c>
      <c r="C25" s="21" t="s">
        <v>2438</v>
      </c>
      <c r="D25" s="21" t="s">
        <v>621</v>
      </c>
      <c r="E25" s="21" t="s">
        <v>621</v>
      </c>
      <c r="F25" s="21" t="s">
        <v>621</v>
      </c>
      <c r="G25" s="21" t="s">
        <v>621</v>
      </c>
      <c r="H25" s="21" t="s">
        <v>621</v>
      </c>
      <c r="I25" s="21" t="s">
        <v>621</v>
      </c>
      <c r="J25" s="21" t="s">
        <v>621</v>
      </c>
      <c r="K25" s="21" t="s">
        <v>621</v>
      </c>
    </row>
    <row r="26" spans="1:11" x14ac:dyDescent="0.25">
      <c r="A26" s="20" t="s">
        <v>2439</v>
      </c>
      <c r="B26" s="21" t="s">
        <v>2437</v>
      </c>
      <c r="C26" s="21" t="s">
        <v>2438</v>
      </c>
      <c r="D26" s="21" t="s">
        <v>621</v>
      </c>
      <c r="E26" s="21" t="s">
        <v>621</v>
      </c>
      <c r="F26" s="21" t="s">
        <v>621</v>
      </c>
      <c r="G26" s="21" t="s">
        <v>621</v>
      </c>
      <c r="H26" s="21" t="s">
        <v>621</v>
      </c>
      <c r="I26" s="21" t="s">
        <v>621</v>
      </c>
      <c r="J26" s="21" t="s">
        <v>621</v>
      </c>
      <c r="K26" s="21" t="s">
        <v>621</v>
      </c>
    </row>
    <row r="27" spans="1:11" x14ac:dyDescent="0.25">
      <c r="A27" s="20" t="s">
        <v>2809</v>
      </c>
      <c r="B27" s="21" t="s">
        <v>2810</v>
      </c>
      <c r="C27" s="21" t="s">
        <v>2811</v>
      </c>
      <c r="D27" s="21" t="s">
        <v>621</v>
      </c>
      <c r="E27" s="21" t="s">
        <v>621</v>
      </c>
      <c r="F27" s="21" t="s">
        <v>621</v>
      </c>
      <c r="G27" s="21" t="s">
        <v>621</v>
      </c>
      <c r="H27" s="21" t="s">
        <v>621</v>
      </c>
      <c r="I27" s="21" t="s">
        <v>621</v>
      </c>
      <c r="J27" s="21" t="s">
        <v>621</v>
      </c>
      <c r="K27" s="21" t="s">
        <v>621</v>
      </c>
    </row>
    <row r="28" spans="1:11" x14ac:dyDescent="0.25">
      <c r="A28" s="20" t="s">
        <v>2812</v>
      </c>
      <c r="B28" s="21" t="s">
        <v>2813</v>
      </c>
      <c r="C28" s="21" t="s">
        <v>621</v>
      </c>
      <c r="D28" s="21" t="s">
        <v>621</v>
      </c>
      <c r="E28" s="21" t="s">
        <v>621</v>
      </c>
      <c r="F28" s="21" t="s">
        <v>621</v>
      </c>
      <c r="G28" s="21" t="s">
        <v>621</v>
      </c>
      <c r="H28" s="21" t="s">
        <v>621</v>
      </c>
      <c r="I28" s="21" t="s">
        <v>621</v>
      </c>
      <c r="J28" s="21" t="s">
        <v>621</v>
      </c>
      <c r="K28" s="21" t="s">
        <v>621</v>
      </c>
    </row>
    <row r="29" spans="1:11" x14ac:dyDescent="0.25">
      <c r="A29" s="20" t="s">
        <v>2814</v>
      </c>
      <c r="B29" s="21" t="s">
        <v>2815</v>
      </c>
      <c r="C29" s="21" t="s">
        <v>621</v>
      </c>
      <c r="D29" s="21" t="s">
        <v>621</v>
      </c>
      <c r="E29" s="21" t="s">
        <v>621</v>
      </c>
      <c r="F29" s="21" t="s">
        <v>621</v>
      </c>
      <c r="G29" s="21" t="s">
        <v>621</v>
      </c>
      <c r="H29" s="21" t="s">
        <v>621</v>
      </c>
      <c r="I29" s="21" t="s">
        <v>621</v>
      </c>
      <c r="J29" s="21" t="s">
        <v>621</v>
      </c>
      <c r="K29" s="21" t="s">
        <v>621</v>
      </c>
    </row>
    <row r="30" spans="1:11" x14ac:dyDescent="0.25">
      <c r="A30" s="20" t="s">
        <v>2816</v>
      </c>
      <c r="B30" s="21" t="s">
        <v>2817</v>
      </c>
      <c r="C30" s="21" t="s">
        <v>621</v>
      </c>
      <c r="D30" s="21" t="s">
        <v>621</v>
      </c>
      <c r="E30" s="21" t="s">
        <v>621</v>
      </c>
      <c r="F30" s="21" t="s">
        <v>621</v>
      </c>
      <c r="G30" s="21" t="s">
        <v>621</v>
      </c>
      <c r="H30" s="21" t="s">
        <v>621</v>
      </c>
      <c r="I30" s="21" t="s">
        <v>621</v>
      </c>
      <c r="J30" s="21" t="s">
        <v>621</v>
      </c>
      <c r="K30" s="21" t="s">
        <v>621</v>
      </c>
    </row>
    <row r="31" spans="1:11" x14ac:dyDescent="0.25">
      <c r="A31" s="20" t="s">
        <v>2818</v>
      </c>
      <c r="B31" s="21" t="s">
        <v>2819</v>
      </c>
      <c r="C31" s="21" t="s">
        <v>621</v>
      </c>
      <c r="D31" s="21" t="s">
        <v>621</v>
      </c>
      <c r="E31" s="21" t="s">
        <v>621</v>
      </c>
      <c r="F31" s="21" t="s">
        <v>621</v>
      </c>
      <c r="G31" s="21" t="s">
        <v>621</v>
      </c>
      <c r="H31" s="21" t="s">
        <v>621</v>
      </c>
      <c r="I31" s="21" t="s">
        <v>621</v>
      </c>
      <c r="J31" s="21" t="s">
        <v>621</v>
      </c>
      <c r="K31" s="21" t="s">
        <v>621</v>
      </c>
    </row>
    <row r="32" spans="1:11" x14ac:dyDescent="0.25">
      <c r="A32" s="20" t="s">
        <v>2820</v>
      </c>
      <c r="B32" s="21" t="s">
        <v>2821</v>
      </c>
      <c r="C32" s="21" t="s">
        <v>621</v>
      </c>
      <c r="D32" s="21" t="s">
        <v>621</v>
      </c>
      <c r="E32" s="21" t="s">
        <v>621</v>
      </c>
      <c r="F32" s="21" t="s">
        <v>621</v>
      </c>
      <c r="G32" s="21" t="s">
        <v>621</v>
      </c>
      <c r="H32" s="21" t="s">
        <v>621</v>
      </c>
      <c r="I32" s="21" t="s">
        <v>621</v>
      </c>
      <c r="J32" s="21" t="s">
        <v>621</v>
      </c>
      <c r="K32" s="21" t="s">
        <v>621</v>
      </c>
    </row>
    <row r="33" spans="1:11" x14ac:dyDescent="0.25">
      <c r="A33" s="20" t="s">
        <v>2822</v>
      </c>
      <c r="B33" s="21" t="s">
        <v>2823</v>
      </c>
      <c r="C33" s="21" t="s">
        <v>2813</v>
      </c>
      <c r="D33" s="21" t="s">
        <v>621</v>
      </c>
      <c r="E33" s="21" t="s">
        <v>621</v>
      </c>
      <c r="F33" s="21" t="s">
        <v>621</v>
      </c>
      <c r="G33" s="21" t="s">
        <v>621</v>
      </c>
      <c r="H33" s="21" t="s">
        <v>621</v>
      </c>
      <c r="I33" s="21" t="s">
        <v>621</v>
      </c>
      <c r="J33" s="21" t="s">
        <v>621</v>
      </c>
      <c r="K33" s="21" t="s">
        <v>621</v>
      </c>
    </row>
    <row r="34" spans="1:11" x14ac:dyDescent="0.25">
      <c r="A34" s="20" t="s">
        <v>2824</v>
      </c>
      <c r="B34" s="21" t="s">
        <v>2825</v>
      </c>
      <c r="C34" s="21" t="s">
        <v>2786</v>
      </c>
      <c r="D34" s="21" t="s">
        <v>621</v>
      </c>
      <c r="E34" s="21" t="s">
        <v>621</v>
      </c>
      <c r="F34" s="21" t="s">
        <v>621</v>
      </c>
      <c r="G34" s="21" t="s">
        <v>621</v>
      </c>
      <c r="H34" s="21" t="s">
        <v>621</v>
      </c>
      <c r="I34" s="21" t="s">
        <v>621</v>
      </c>
      <c r="J34" s="21" t="s">
        <v>621</v>
      </c>
      <c r="K34" s="21" t="s">
        <v>621</v>
      </c>
    </row>
    <row r="35" spans="1:11" x14ac:dyDescent="0.25">
      <c r="A35" s="20" t="s">
        <v>2826</v>
      </c>
      <c r="B35" s="21" t="s">
        <v>2827</v>
      </c>
      <c r="C35" s="21" t="s">
        <v>2786</v>
      </c>
      <c r="D35" s="21" t="s">
        <v>621</v>
      </c>
      <c r="E35" s="21" t="s">
        <v>621</v>
      </c>
      <c r="F35" s="21" t="s">
        <v>621</v>
      </c>
      <c r="G35" s="21" t="s">
        <v>621</v>
      </c>
      <c r="H35" s="21" t="s">
        <v>621</v>
      </c>
      <c r="I35" s="21" t="s">
        <v>621</v>
      </c>
      <c r="J35" s="21" t="s">
        <v>621</v>
      </c>
      <c r="K35" s="21" t="s">
        <v>621</v>
      </c>
    </row>
    <row r="36" spans="1:11" x14ac:dyDescent="0.25">
      <c r="A36" s="20" t="s">
        <v>2828</v>
      </c>
      <c r="B36" s="21" t="s">
        <v>2829</v>
      </c>
      <c r="C36" s="21" t="s">
        <v>621</v>
      </c>
      <c r="D36" s="21" t="s">
        <v>621</v>
      </c>
      <c r="E36" s="21" t="s">
        <v>621</v>
      </c>
      <c r="F36" s="21" t="s">
        <v>621</v>
      </c>
      <c r="G36" s="21" t="s">
        <v>621</v>
      </c>
      <c r="H36" s="21" t="s">
        <v>621</v>
      </c>
      <c r="I36" s="21" t="s">
        <v>621</v>
      </c>
      <c r="J36" s="21" t="s">
        <v>621</v>
      </c>
      <c r="K36" s="21" t="s">
        <v>621</v>
      </c>
    </row>
    <row r="37" spans="1:11" x14ac:dyDescent="0.25">
      <c r="A37" s="20" t="s">
        <v>2830</v>
      </c>
      <c r="B37" s="21" t="s">
        <v>2831</v>
      </c>
      <c r="C37" s="21" t="s">
        <v>621</v>
      </c>
      <c r="D37" s="21" t="s">
        <v>621</v>
      </c>
      <c r="E37" s="21" t="s">
        <v>621</v>
      </c>
      <c r="F37" s="21" t="s">
        <v>621</v>
      </c>
      <c r="G37" s="21" t="s">
        <v>621</v>
      </c>
      <c r="H37" s="21" t="s">
        <v>621</v>
      </c>
      <c r="I37" s="21" t="s">
        <v>621</v>
      </c>
      <c r="J37" s="21" t="s">
        <v>621</v>
      </c>
      <c r="K37" s="21" t="s">
        <v>621</v>
      </c>
    </row>
    <row r="38" spans="1:11" x14ac:dyDescent="0.25">
      <c r="A38" s="20" t="s">
        <v>2832</v>
      </c>
      <c r="B38" s="21" t="s">
        <v>2833</v>
      </c>
      <c r="C38" s="21" t="s">
        <v>621</v>
      </c>
      <c r="D38" s="21" t="s">
        <v>621</v>
      </c>
      <c r="E38" s="21" t="s">
        <v>621</v>
      </c>
      <c r="F38" s="21" t="s">
        <v>621</v>
      </c>
      <c r="G38" s="21" t="s">
        <v>621</v>
      </c>
      <c r="H38" s="21" t="s">
        <v>621</v>
      </c>
      <c r="I38" s="21" t="s">
        <v>621</v>
      </c>
      <c r="J38" s="21" t="s">
        <v>621</v>
      </c>
      <c r="K38" s="21" t="s">
        <v>621</v>
      </c>
    </row>
    <row r="39" spans="1:11" x14ac:dyDescent="0.25">
      <c r="A39" s="20" t="s">
        <v>2834</v>
      </c>
      <c r="B39" s="21" t="s">
        <v>2835</v>
      </c>
      <c r="C39" s="21" t="s">
        <v>621</v>
      </c>
      <c r="D39" s="21" t="s">
        <v>621</v>
      </c>
      <c r="E39" s="21" t="s">
        <v>621</v>
      </c>
      <c r="F39" s="21" t="s">
        <v>621</v>
      </c>
      <c r="G39" s="21" t="s">
        <v>621</v>
      </c>
      <c r="H39" s="21" t="s">
        <v>621</v>
      </c>
      <c r="I39" s="21" t="s">
        <v>621</v>
      </c>
      <c r="J39" s="21" t="s">
        <v>621</v>
      </c>
      <c r="K39" s="21" t="s">
        <v>621</v>
      </c>
    </row>
    <row r="40" spans="1:11" x14ac:dyDescent="0.25">
      <c r="A40" s="20" t="s">
        <v>2836</v>
      </c>
      <c r="B40" s="21" t="s">
        <v>2837</v>
      </c>
      <c r="C40" s="21" t="s">
        <v>621</v>
      </c>
      <c r="D40" s="21" t="s">
        <v>621</v>
      </c>
      <c r="E40" s="21" t="s">
        <v>621</v>
      </c>
      <c r="F40" s="21" t="s">
        <v>621</v>
      </c>
      <c r="G40" s="21" t="s">
        <v>621</v>
      </c>
      <c r="H40" s="21" t="s">
        <v>621</v>
      </c>
      <c r="I40" s="21" t="s">
        <v>621</v>
      </c>
      <c r="J40" s="21" t="s">
        <v>621</v>
      </c>
      <c r="K40" s="21" t="s">
        <v>621</v>
      </c>
    </row>
    <row r="41" spans="1:11" x14ac:dyDescent="0.25">
      <c r="A41" s="20" t="s">
        <v>2838</v>
      </c>
      <c r="B41" s="21" t="s">
        <v>2839</v>
      </c>
      <c r="C41" s="21" t="s">
        <v>621</v>
      </c>
      <c r="D41" s="21" t="s">
        <v>621</v>
      </c>
      <c r="E41" s="21" t="s">
        <v>621</v>
      </c>
      <c r="F41" s="21" t="s">
        <v>621</v>
      </c>
      <c r="G41" s="21" t="s">
        <v>621</v>
      </c>
      <c r="H41" s="21" t="s">
        <v>621</v>
      </c>
      <c r="I41" s="21" t="s">
        <v>621</v>
      </c>
      <c r="J41" s="21" t="s">
        <v>621</v>
      </c>
      <c r="K41" s="21" t="s">
        <v>621</v>
      </c>
    </row>
    <row r="42" spans="1:11" x14ac:dyDescent="0.25">
      <c r="A42" s="20" t="s">
        <v>2440</v>
      </c>
      <c r="B42" s="21" t="s">
        <v>2441</v>
      </c>
      <c r="C42" s="21" t="s">
        <v>2840</v>
      </c>
      <c r="D42" s="21" t="s">
        <v>621</v>
      </c>
      <c r="E42" s="21" t="s">
        <v>621</v>
      </c>
      <c r="F42" s="21" t="s">
        <v>621</v>
      </c>
      <c r="G42" s="21" t="s">
        <v>621</v>
      </c>
      <c r="H42" s="21" t="s">
        <v>621</v>
      </c>
      <c r="I42" s="21" t="s">
        <v>621</v>
      </c>
      <c r="J42" s="21" t="s">
        <v>621</v>
      </c>
      <c r="K42" s="21" t="s">
        <v>621</v>
      </c>
    </row>
    <row r="43" spans="1:11" x14ac:dyDescent="0.25">
      <c r="A43" s="20" t="s">
        <v>2442</v>
      </c>
      <c r="B43" s="21" t="s">
        <v>2443</v>
      </c>
      <c r="C43" s="21" t="s">
        <v>2444</v>
      </c>
      <c r="D43" s="21" t="s">
        <v>2841</v>
      </c>
      <c r="E43" s="21" t="s">
        <v>2842</v>
      </c>
      <c r="F43" s="21" t="s">
        <v>621</v>
      </c>
      <c r="G43" s="21" t="s">
        <v>621</v>
      </c>
      <c r="H43" s="21" t="s">
        <v>621</v>
      </c>
      <c r="I43" s="21" t="s">
        <v>621</v>
      </c>
      <c r="J43" s="21" t="s">
        <v>621</v>
      </c>
      <c r="K43" s="21" t="s">
        <v>621</v>
      </c>
    </row>
    <row r="44" spans="1:11" x14ac:dyDescent="0.25">
      <c r="A44" s="20" t="s">
        <v>2843</v>
      </c>
      <c r="B44" s="21" t="s">
        <v>2844</v>
      </c>
      <c r="C44" s="21" t="s">
        <v>621</v>
      </c>
      <c r="D44" s="21" t="s">
        <v>621</v>
      </c>
      <c r="E44" s="21" t="s">
        <v>621</v>
      </c>
      <c r="F44" s="21" t="s">
        <v>621</v>
      </c>
      <c r="G44" s="21" t="s">
        <v>621</v>
      </c>
      <c r="H44" s="21" t="s">
        <v>621</v>
      </c>
      <c r="I44" s="21" t="s">
        <v>621</v>
      </c>
      <c r="J44" s="21" t="s">
        <v>621</v>
      </c>
      <c r="K44" s="21" t="s">
        <v>621</v>
      </c>
    </row>
    <row r="45" spans="1:11" x14ac:dyDescent="0.25">
      <c r="A45" s="20" t="s">
        <v>2845</v>
      </c>
      <c r="B45" s="21" t="s">
        <v>2846</v>
      </c>
      <c r="C45" s="21" t="s">
        <v>621</v>
      </c>
      <c r="D45" s="21" t="s">
        <v>621</v>
      </c>
      <c r="E45" s="21" t="s">
        <v>621</v>
      </c>
      <c r="F45" s="21" t="s">
        <v>621</v>
      </c>
      <c r="G45" s="21" t="s">
        <v>621</v>
      </c>
      <c r="H45" s="21" t="s">
        <v>621</v>
      </c>
      <c r="I45" s="21" t="s">
        <v>621</v>
      </c>
      <c r="J45" s="21" t="s">
        <v>621</v>
      </c>
      <c r="K45" s="21" t="s">
        <v>621</v>
      </c>
    </row>
    <row r="46" spans="1:11" x14ac:dyDescent="0.25">
      <c r="A46" s="20" t="s">
        <v>2847</v>
      </c>
      <c r="B46" s="21" t="s">
        <v>2848</v>
      </c>
      <c r="C46" s="21" t="s">
        <v>621</v>
      </c>
      <c r="D46" s="21" t="s">
        <v>621</v>
      </c>
      <c r="E46" s="21" t="s">
        <v>621</v>
      </c>
      <c r="F46" s="21" t="s">
        <v>621</v>
      </c>
      <c r="G46" s="21" t="s">
        <v>621</v>
      </c>
      <c r="H46" s="21" t="s">
        <v>621</v>
      </c>
      <c r="I46" s="21" t="s">
        <v>621</v>
      </c>
      <c r="J46" s="21" t="s">
        <v>621</v>
      </c>
      <c r="K46" s="21" t="s">
        <v>621</v>
      </c>
    </row>
    <row r="47" spans="1:11" x14ac:dyDescent="0.25">
      <c r="A47" s="20" t="s">
        <v>2445</v>
      </c>
      <c r="B47" s="21" t="s">
        <v>2446</v>
      </c>
      <c r="C47" s="21" t="s">
        <v>2849</v>
      </c>
      <c r="D47" s="21" t="s">
        <v>2850</v>
      </c>
      <c r="E47" s="21" t="s">
        <v>2851</v>
      </c>
      <c r="F47" s="21" t="s">
        <v>621</v>
      </c>
      <c r="G47" s="21" t="s">
        <v>621</v>
      </c>
      <c r="H47" s="21" t="s">
        <v>621</v>
      </c>
      <c r="I47" s="21" t="s">
        <v>621</v>
      </c>
      <c r="J47" s="21" t="s">
        <v>621</v>
      </c>
      <c r="K47" s="21" t="s">
        <v>621</v>
      </c>
    </row>
    <row r="48" spans="1:11" x14ac:dyDescent="0.25">
      <c r="A48" s="20" t="s">
        <v>2447</v>
      </c>
      <c r="B48" s="21" t="s">
        <v>2446</v>
      </c>
      <c r="C48" s="21" t="s">
        <v>621</v>
      </c>
      <c r="D48" s="21" t="s">
        <v>621</v>
      </c>
      <c r="E48" s="21" t="s">
        <v>621</v>
      </c>
      <c r="F48" s="21" t="s">
        <v>621</v>
      </c>
      <c r="G48" s="21" t="s">
        <v>621</v>
      </c>
      <c r="H48" s="21" t="s">
        <v>621</v>
      </c>
      <c r="I48" s="21" t="s">
        <v>621</v>
      </c>
      <c r="J48" s="21" t="s">
        <v>621</v>
      </c>
      <c r="K48" s="21" t="s">
        <v>621</v>
      </c>
    </row>
    <row r="49" spans="1:11" x14ac:dyDescent="0.25">
      <c r="A49" s="20" t="s">
        <v>2852</v>
      </c>
      <c r="B49" s="21" t="s">
        <v>2853</v>
      </c>
      <c r="C49" s="21" t="s">
        <v>2854</v>
      </c>
      <c r="D49" s="21" t="s">
        <v>2855</v>
      </c>
      <c r="E49" s="21" t="s">
        <v>621</v>
      </c>
      <c r="F49" s="21" t="s">
        <v>621</v>
      </c>
      <c r="G49" s="21" t="s">
        <v>621</v>
      </c>
      <c r="H49" s="21" t="s">
        <v>621</v>
      </c>
      <c r="I49" s="21" t="s">
        <v>621</v>
      </c>
      <c r="J49" s="21" t="s">
        <v>621</v>
      </c>
      <c r="K49" s="21" t="s">
        <v>621</v>
      </c>
    </row>
    <row r="50" spans="1:11" x14ac:dyDescent="0.25">
      <c r="A50" s="20" t="s">
        <v>2856</v>
      </c>
      <c r="B50" s="21" t="s">
        <v>2853</v>
      </c>
      <c r="C50" s="21" t="s">
        <v>2854</v>
      </c>
      <c r="D50" s="21" t="s">
        <v>2855</v>
      </c>
      <c r="E50" s="21" t="s">
        <v>621</v>
      </c>
      <c r="F50" s="21" t="s">
        <v>621</v>
      </c>
      <c r="G50" s="21" t="s">
        <v>621</v>
      </c>
      <c r="H50" s="21" t="s">
        <v>621</v>
      </c>
      <c r="I50" s="21" t="s">
        <v>621</v>
      </c>
      <c r="J50" s="21" t="s">
        <v>621</v>
      </c>
      <c r="K50" s="21" t="s">
        <v>621</v>
      </c>
    </row>
    <row r="51" spans="1:11" x14ac:dyDescent="0.25">
      <c r="A51" s="20" t="s">
        <v>2448</v>
      </c>
      <c r="B51" s="21" t="s">
        <v>2449</v>
      </c>
      <c r="C51" s="21" t="s">
        <v>2450</v>
      </c>
      <c r="D51" s="21" t="s">
        <v>2451</v>
      </c>
      <c r="E51" s="21" t="s">
        <v>2452</v>
      </c>
      <c r="F51" s="21" t="s">
        <v>2453</v>
      </c>
      <c r="G51" s="21" t="s">
        <v>2449</v>
      </c>
      <c r="H51" s="21" t="s">
        <v>2857</v>
      </c>
      <c r="I51" s="21" t="s">
        <v>2858</v>
      </c>
      <c r="J51" s="21" t="s">
        <v>621</v>
      </c>
      <c r="K51" s="21" t="s">
        <v>621</v>
      </c>
    </row>
    <row r="52" spans="1:11" x14ac:dyDescent="0.25">
      <c r="A52" s="20" t="s">
        <v>2454</v>
      </c>
      <c r="B52" s="21" t="s">
        <v>2446</v>
      </c>
      <c r="C52" s="21" t="s">
        <v>621</v>
      </c>
      <c r="D52" s="21" t="s">
        <v>621</v>
      </c>
      <c r="E52" s="21" t="s">
        <v>621</v>
      </c>
      <c r="F52" s="21" t="s">
        <v>621</v>
      </c>
      <c r="G52" s="21" t="s">
        <v>621</v>
      </c>
      <c r="H52" s="21" t="s">
        <v>621</v>
      </c>
      <c r="I52" s="21" t="s">
        <v>621</v>
      </c>
      <c r="J52" s="21" t="s">
        <v>621</v>
      </c>
      <c r="K52" s="21" t="s">
        <v>621</v>
      </c>
    </row>
    <row r="53" spans="1:11" x14ac:dyDescent="0.25">
      <c r="A53" s="20" t="s">
        <v>2859</v>
      </c>
      <c r="B53" s="21" t="s">
        <v>2855</v>
      </c>
      <c r="C53" s="21" t="s">
        <v>621</v>
      </c>
      <c r="D53" s="21" t="s">
        <v>621</v>
      </c>
      <c r="E53" s="21" t="s">
        <v>621</v>
      </c>
      <c r="F53" s="21" t="s">
        <v>621</v>
      </c>
      <c r="G53" s="21" t="s">
        <v>621</v>
      </c>
      <c r="H53" s="21" t="s">
        <v>621</v>
      </c>
      <c r="I53" s="21" t="s">
        <v>621</v>
      </c>
      <c r="J53" s="21" t="s">
        <v>621</v>
      </c>
      <c r="K53" s="21" t="s">
        <v>621</v>
      </c>
    </row>
    <row r="54" spans="1:11" x14ac:dyDescent="0.25">
      <c r="A54" s="20" t="s">
        <v>2455</v>
      </c>
      <c r="B54" s="21" t="s">
        <v>2456</v>
      </c>
      <c r="C54" s="21" t="s">
        <v>2457</v>
      </c>
      <c r="D54" s="21" t="s">
        <v>2458</v>
      </c>
      <c r="E54" s="21" t="s">
        <v>621</v>
      </c>
      <c r="F54" s="21" t="s">
        <v>621</v>
      </c>
      <c r="G54" s="21" t="s">
        <v>621</v>
      </c>
      <c r="H54" s="21" t="s">
        <v>621</v>
      </c>
      <c r="I54" s="21" t="s">
        <v>621</v>
      </c>
      <c r="J54" s="21" t="s">
        <v>621</v>
      </c>
      <c r="K54" s="21" t="s">
        <v>621</v>
      </c>
    </row>
    <row r="55" spans="1:11" x14ac:dyDescent="0.25">
      <c r="A55" s="20" t="s">
        <v>2860</v>
      </c>
      <c r="B55" s="21" t="s">
        <v>2861</v>
      </c>
      <c r="C55" s="21" t="s">
        <v>621</v>
      </c>
      <c r="D55" s="21" t="s">
        <v>621</v>
      </c>
      <c r="E55" s="21" t="s">
        <v>621</v>
      </c>
      <c r="F55" s="21" t="s">
        <v>621</v>
      </c>
      <c r="G55" s="21" t="s">
        <v>621</v>
      </c>
      <c r="H55" s="21" t="s">
        <v>621</v>
      </c>
      <c r="I55" s="21" t="s">
        <v>621</v>
      </c>
      <c r="J55" s="21" t="s">
        <v>621</v>
      </c>
      <c r="K55" s="21" t="s">
        <v>621</v>
      </c>
    </row>
    <row r="56" spans="1:11" x14ac:dyDescent="0.25">
      <c r="A56" s="20" t="s">
        <v>2862</v>
      </c>
      <c r="B56" s="21" t="s">
        <v>2863</v>
      </c>
      <c r="C56" s="21" t="s">
        <v>621</v>
      </c>
      <c r="D56" s="21" t="s">
        <v>621</v>
      </c>
      <c r="E56" s="21" t="s">
        <v>621</v>
      </c>
      <c r="F56" s="21" t="s">
        <v>621</v>
      </c>
      <c r="G56" s="21" t="s">
        <v>621</v>
      </c>
      <c r="H56" s="21" t="s">
        <v>621</v>
      </c>
      <c r="I56" s="21" t="s">
        <v>621</v>
      </c>
      <c r="J56" s="21" t="s">
        <v>621</v>
      </c>
      <c r="K56" s="21" t="s">
        <v>621</v>
      </c>
    </row>
    <row r="57" spans="1:11" x14ac:dyDescent="0.25">
      <c r="A57" s="20" t="s">
        <v>2864</v>
      </c>
      <c r="B57" s="21" t="s">
        <v>2758</v>
      </c>
      <c r="C57" s="21" t="s">
        <v>2759</v>
      </c>
      <c r="D57" s="21" t="s">
        <v>2760</v>
      </c>
      <c r="E57" s="21" t="s">
        <v>2761</v>
      </c>
      <c r="F57" s="21" t="s">
        <v>2757</v>
      </c>
      <c r="G57" s="21" t="s">
        <v>621</v>
      </c>
      <c r="H57" s="21" t="s">
        <v>621</v>
      </c>
      <c r="I57" s="21" t="s">
        <v>621</v>
      </c>
      <c r="J57" s="21" t="s">
        <v>621</v>
      </c>
      <c r="K57" s="21" t="s">
        <v>621</v>
      </c>
    </row>
    <row r="58" spans="1:11" x14ac:dyDescent="0.25">
      <c r="A58" s="20" t="s">
        <v>2459</v>
      </c>
      <c r="B58" s="21" t="s">
        <v>2460</v>
      </c>
      <c r="C58" s="21" t="s">
        <v>621</v>
      </c>
      <c r="D58" s="21" t="s">
        <v>621</v>
      </c>
      <c r="E58" s="21" t="s">
        <v>621</v>
      </c>
      <c r="F58" s="21" t="s">
        <v>621</v>
      </c>
      <c r="G58" s="21" t="s">
        <v>621</v>
      </c>
      <c r="H58" s="21" t="s">
        <v>621</v>
      </c>
      <c r="I58" s="21" t="s">
        <v>621</v>
      </c>
      <c r="J58" s="21" t="s">
        <v>621</v>
      </c>
      <c r="K58" s="21" t="s">
        <v>621</v>
      </c>
    </row>
    <row r="59" spans="1:11" x14ac:dyDescent="0.25">
      <c r="A59" s="20" t="s">
        <v>2865</v>
      </c>
      <c r="B59" s="21" t="s">
        <v>2866</v>
      </c>
      <c r="C59" s="21" t="s">
        <v>2867</v>
      </c>
      <c r="D59" s="21" t="s">
        <v>2868</v>
      </c>
      <c r="E59" s="21" t="s">
        <v>2869</v>
      </c>
      <c r="F59" s="21" t="s">
        <v>2870</v>
      </c>
      <c r="G59" s="21" t="s">
        <v>621</v>
      </c>
      <c r="H59" s="21" t="s">
        <v>621</v>
      </c>
      <c r="I59" s="21" t="s">
        <v>621</v>
      </c>
      <c r="J59" s="21" t="s">
        <v>621</v>
      </c>
      <c r="K59" s="21" t="s">
        <v>621</v>
      </c>
    </row>
    <row r="60" spans="1:11" x14ac:dyDescent="0.25">
      <c r="A60" s="20" t="s">
        <v>2871</v>
      </c>
      <c r="B60" s="21" t="s">
        <v>2872</v>
      </c>
      <c r="C60" s="21" t="s">
        <v>2873</v>
      </c>
      <c r="D60" s="21" t="s">
        <v>2874</v>
      </c>
      <c r="E60" s="21" t="s">
        <v>621</v>
      </c>
      <c r="F60" s="21" t="s">
        <v>621</v>
      </c>
      <c r="G60" s="21" t="s">
        <v>621</v>
      </c>
      <c r="H60" s="21" t="s">
        <v>621</v>
      </c>
      <c r="I60" s="21" t="s">
        <v>621</v>
      </c>
      <c r="J60" s="21" t="s">
        <v>621</v>
      </c>
      <c r="K60" s="21" t="s">
        <v>621</v>
      </c>
    </row>
    <row r="61" spans="1:11" x14ac:dyDescent="0.25">
      <c r="A61" s="20" t="s">
        <v>2875</v>
      </c>
      <c r="B61" s="21" t="s">
        <v>2872</v>
      </c>
      <c r="C61" s="21" t="s">
        <v>2873</v>
      </c>
      <c r="D61" s="21" t="s">
        <v>2874</v>
      </c>
      <c r="E61" s="21" t="s">
        <v>621</v>
      </c>
      <c r="F61" s="21" t="s">
        <v>621</v>
      </c>
      <c r="G61" s="21" t="s">
        <v>621</v>
      </c>
      <c r="H61" s="21" t="s">
        <v>621</v>
      </c>
      <c r="I61" s="21" t="s">
        <v>621</v>
      </c>
      <c r="J61" s="21" t="s">
        <v>621</v>
      </c>
      <c r="K61" s="21" t="s">
        <v>621</v>
      </c>
    </row>
    <row r="62" spans="1:11" x14ac:dyDescent="0.25">
      <c r="A62" s="20" t="s">
        <v>2876</v>
      </c>
      <c r="B62" s="21" t="s">
        <v>2877</v>
      </c>
      <c r="C62" s="21" t="s">
        <v>621</v>
      </c>
      <c r="D62" s="21" t="s">
        <v>621</v>
      </c>
      <c r="E62" s="21" t="s">
        <v>621</v>
      </c>
      <c r="F62" s="21" t="s">
        <v>621</v>
      </c>
      <c r="G62" s="21" t="s">
        <v>621</v>
      </c>
      <c r="H62" s="21" t="s">
        <v>621</v>
      </c>
      <c r="I62" s="21" t="s">
        <v>621</v>
      </c>
      <c r="J62" s="21" t="s">
        <v>621</v>
      </c>
      <c r="K62" s="21" t="s">
        <v>621</v>
      </c>
    </row>
    <row r="63" spans="1:11" x14ac:dyDescent="0.25">
      <c r="A63" s="20" t="s">
        <v>2878</v>
      </c>
      <c r="B63" s="21" t="s">
        <v>2879</v>
      </c>
      <c r="C63" s="21" t="s">
        <v>621</v>
      </c>
      <c r="D63" s="21" t="s">
        <v>621</v>
      </c>
      <c r="E63" s="21" t="s">
        <v>621</v>
      </c>
      <c r="F63" s="21" t="s">
        <v>621</v>
      </c>
      <c r="G63" s="21" t="s">
        <v>621</v>
      </c>
      <c r="H63" s="21" t="s">
        <v>621</v>
      </c>
      <c r="I63" s="21" t="s">
        <v>621</v>
      </c>
      <c r="J63" s="21" t="s">
        <v>621</v>
      </c>
      <c r="K63" s="21" t="s">
        <v>621</v>
      </c>
    </row>
    <row r="64" spans="1:11" x14ac:dyDescent="0.25">
      <c r="A64" s="20" t="s">
        <v>2880</v>
      </c>
      <c r="B64" s="21" t="s">
        <v>2772</v>
      </c>
      <c r="C64" s="21" t="s">
        <v>2773</v>
      </c>
      <c r="D64" s="21" t="s">
        <v>2771</v>
      </c>
      <c r="E64" s="21" t="s">
        <v>621</v>
      </c>
      <c r="F64" s="21" t="s">
        <v>621</v>
      </c>
      <c r="G64" s="21" t="s">
        <v>621</v>
      </c>
      <c r="H64" s="21" t="s">
        <v>621</v>
      </c>
      <c r="I64" s="21" t="s">
        <v>621</v>
      </c>
      <c r="J64" s="21" t="s">
        <v>621</v>
      </c>
      <c r="K64" s="21" t="s">
        <v>621</v>
      </c>
    </row>
    <row r="65" spans="1:11" x14ac:dyDescent="0.25">
      <c r="A65" s="20" t="s">
        <v>2881</v>
      </c>
      <c r="B65" s="21" t="s">
        <v>2882</v>
      </c>
      <c r="C65" s="21" t="s">
        <v>621</v>
      </c>
      <c r="D65" s="21" t="s">
        <v>621</v>
      </c>
      <c r="E65" s="21" t="s">
        <v>621</v>
      </c>
      <c r="F65" s="21" t="s">
        <v>621</v>
      </c>
      <c r="G65" s="21" t="s">
        <v>621</v>
      </c>
      <c r="H65" s="21" t="s">
        <v>621</v>
      </c>
      <c r="I65" s="21" t="s">
        <v>621</v>
      </c>
      <c r="J65" s="21" t="s">
        <v>621</v>
      </c>
      <c r="K65" s="21" t="s">
        <v>621</v>
      </c>
    </row>
    <row r="66" spans="1:11" x14ac:dyDescent="0.25">
      <c r="A66" s="20" t="s">
        <v>2461</v>
      </c>
      <c r="B66" s="21" t="s">
        <v>2462</v>
      </c>
      <c r="C66" s="21" t="s">
        <v>621</v>
      </c>
      <c r="D66" s="21" t="s">
        <v>621</v>
      </c>
      <c r="E66" s="21" t="s">
        <v>621</v>
      </c>
      <c r="F66" s="21" t="s">
        <v>621</v>
      </c>
      <c r="G66" s="21" t="s">
        <v>621</v>
      </c>
      <c r="H66" s="21" t="s">
        <v>621</v>
      </c>
      <c r="I66" s="21" t="s">
        <v>621</v>
      </c>
      <c r="J66" s="21" t="s">
        <v>621</v>
      </c>
      <c r="K66" s="21" t="s">
        <v>621</v>
      </c>
    </row>
    <row r="67" spans="1:11" x14ac:dyDescent="0.25">
      <c r="A67" s="20" t="s">
        <v>2463</v>
      </c>
      <c r="B67" s="21" t="s">
        <v>2464</v>
      </c>
      <c r="C67" s="21" t="s">
        <v>2465</v>
      </c>
      <c r="D67" s="21" t="s">
        <v>2466</v>
      </c>
      <c r="E67" s="21" t="s">
        <v>2883</v>
      </c>
      <c r="F67" s="21" t="s">
        <v>2884</v>
      </c>
      <c r="G67" s="21" t="s">
        <v>621</v>
      </c>
      <c r="H67" s="21" t="s">
        <v>621</v>
      </c>
      <c r="I67" s="21" t="s">
        <v>621</v>
      </c>
      <c r="J67" s="21" t="s">
        <v>621</v>
      </c>
      <c r="K67" s="21" t="s">
        <v>621</v>
      </c>
    </row>
    <row r="68" spans="1:11" x14ac:dyDescent="0.25">
      <c r="A68" s="20" t="s">
        <v>2467</v>
      </c>
      <c r="B68" s="21" t="s">
        <v>2468</v>
      </c>
      <c r="C68" s="21" t="s">
        <v>2469</v>
      </c>
      <c r="D68" s="21" t="s">
        <v>2470</v>
      </c>
      <c r="E68" s="21" t="s">
        <v>2471</v>
      </c>
      <c r="F68" s="21" t="s">
        <v>2472</v>
      </c>
      <c r="G68" s="21" t="s">
        <v>621</v>
      </c>
      <c r="H68" s="21" t="s">
        <v>621</v>
      </c>
      <c r="I68" s="21" t="s">
        <v>621</v>
      </c>
      <c r="J68" s="21" t="s">
        <v>621</v>
      </c>
      <c r="K68" s="21" t="s">
        <v>621</v>
      </c>
    </row>
    <row r="69" spans="1:11" x14ac:dyDescent="0.25">
      <c r="A69" s="20" t="s">
        <v>2473</v>
      </c>
      <c r="B69" s="21" t="s">
        <v>2468</v>
      </c>
      <c r="C69" s="21" t="s">
        <v>621</v>
      </c>
      <c r="D69" s="21" t="s">
        <v>621</v>
      </c>
      <c r="E69" s="21" t="s">
        <v>621</v>
      </c>
      <c r="F69" s="21" t="s">
        <v>621</v>
      </c>
      <c r="G69" s="21" t="s">
        <v>621</v>
      </c>
      <c r="H69" s="21" t="s">
        <v>621</v>
      </c>
      <c r="I69" s="21" t="s">
        <v>621</v>
      </c>
      <c r="J69" s="21" t="s">
        <v>621</v>
      </c>
      <c r="K69" s="21" t="s">
        <v>621</v>
      </c>
    </row>
    <row r="70" spans="1:11" x14ac:dyDescent="0.25">
      <c r="A70" s="20" t="s">
        <v>2474</v>
      </c>
      <c r="B70" s="21" t="s">
        <v>2475</v>
      </c>
      <c r="C70" s="21" t="s">
        <v>2476</v>
      </c>
      <c r="D70" s="21" t="s">
        <v>2477</v>
      </c>
      <c r="E70" s="21" t="s">
        <v>2478</v>
      </c>
      <c r="F70" s="21" t="s">
        <v>2885</v>
      </c>
      <c r="G70" s="21" t="s">
        <v>2886</v>
      </c>
      <c r="H70" s="21" t="s">
        <v>621</v>
      </c>
      <c r="I70" s="21" t="s">
        <v>621</v>
      </c>
      <c r="J70" s="21" t="s">
        <v>621</v>
      </c>
      <c r="K70" s="21" t="s">
        <v>621</v>
      </c>
    </row>
    <row r="71" spans="1:11" x14ac:dyDescent="0.25">
      <c r="A71" s="20" t="s">
        <v>2479</v>
      </c>
      <c r="B71" s="21" t="s">
        <v>2475</v>
      </c>
      <c r="C71" s="21" t="s">
        <v>2477</v>
      </c>
      <c r="D71" s="21" t="s">
        <v>2476</v>
      </c>
      <c r="E71" s="21" t="s">
        <v>2480</v>
      </c>
      <c r="F71" s="21" t="s">
        <v>2887</v>
      </c>
      <c r="G71" s="21" t="s">
        <v>2888</v>
      </c>
      <c r="H71" s="21" t="s">
        <v>2889</v>
      </c>
      <c r="I71" s="21" t="s">
        <v>621</v>
      </c>
      <c r="J71" s="21" t="s">
        <v>621</v>
      </c>
      <c r="K71" s="21" t="s">
        <v>621</v>
      </c>
    </row>
    <row r="72" spans="1:11" x14ac:dyDescent="0.25">
      <c r="A72" s="20" t="s">
        <v>2481</v>
      </c>
      <c r="B72" s="21" t="s">
        <v>2482</v>
      </c>
      <c r="C72" s="21" t="s">
        <v>2890</v>
      </c>
      <c r="D72" s="21" t="s">
        <v>621</v>
      </c>
      <c r="E72" s="21" t="s">
        <v>621</v>
      </c>
      <c r="F72" s="21" t="s">
        <v>621</v>
      </c>
      <c r="G72" s="21" t="s">
        <v>621</v>
      </c>
      <c r="H72" s="21" t="s">
        <v>621</v>
      </c>
      <c r="I72" s="21" t="s">
        <v>621</v>
      </c>
      <c r="J72" s="21" t="s">
        <v>621</v>
      </c>
      <c r="K72" s="21" t="s">
        <v>621</v>
      </c>
    </row>
    <row r="73" spans="1:11" x14ac:dyDescent="0.25">
      <c r="A73" s="20" t="s">
        <v>2483</v>
      </c>
      <c r="B73" s="21" t="s">
        <v>2484</v>
      </c>
      <c r="C73" s="21" t="s">
        <v>2469</v>
      </c>
      <c r="D73" s="21" t="s">
        <v>2485</v>
      </c>
      <c r="E73" s="21" t="s">
        <v>2486</v>
      </c>
      <c r="F73" s="21" t="s">
        <v>2891</v>
      </c>
      <c r="G73" s="21" t="s">
        <v>2892</v>
      </c>
      <c r="H73" s="21" t="s">
        <v>621</v>
      </c>
      <c r="I73" s="21" t="s">
        <v>621</v>
      </c>
      <c r="J73" s="21" t="s">
        <v>621</v>
      </c>
      <c r="K73" s="21" t="s">
        <v>621</v>
      </c>
    </row>
    <row r="74" spans="1:11" x14ac:dyDescent="0.25">
      <c r="A74" s="20" t="s">
        <v>2487</v>
      </c>
      <c r="B74" s="21" t="s">
        <v>2488</v>
      </c>
      <c r="C74" s="21" t="s">
        <v>2489</v>
      </c>
      <c r="D74" s="21" t="s">
        <v>2490</v>
      </c>
      <c r="E74" s="21" t="s">
        <v>2893</v>
      </c>
      <c r="F74" s="21" t="s">
        <v>2893</v>
      </c>
      <c r="G74" s="21" t="s">
        <v>621</v>
      </c>
      <c r="H74" s="21" t="s">
        <v>621</v>
      </c>
      <c r="I74" s="21" t="s">
        <v>621</v>
      </c>
      <c r="J74" s="21" t="s">
        <v>621</v>
      </c>
      <c r="K74" s="21" t="s">
        <v>621</v>
      </c>
    </row>
    <row r="75" spans="1:11" x14ac:dyDescent="0.25">
      <c r="A75" s="20" t="s">
        <v>2491</v>
      </c>
      <c r="B75" s="21" t="s">
        <v>2492</v>
      </c>
      <c r="C75" s="21" t="s">
        <v>2493</v>
      </c>
      <c r="D75" s="21" t="s">
        <v>621</v>
      </c>
      <c r="E75" s="21" t="s">
        <v>621</v>
      </c>
      <c r="F75" s="21" t="s">
        <v>621</v>
      </c>
      <c r="G75" s="21" t="s">
        <v>621</v>
      </c>
      <c r="H75" s="21" t="s">
        <v>621</v>
      </c>
      <c r="I75" s="21" t="s">
        <v>621</v>
      </c>
      <c r="J75" s="21" t="s">
        <v>621</v>
      </c>
      <c r="K75" s="21" t="s">
        <v>621</v>
      </c>
    </row>
    <row r="76" spans="1:11" x14ac:dyDescent="0.25">
      <c r="A76" s="20" t="s">
        <v>2494</v>
      </c>
      <c r="B76" s="21" t="s">
        <v>2495</v>
      </c>
      <c r="C76" s="21" t="s">
        <v>621</v>
      </c>
      <c r="D76" s="21" t="s">
        <v>621</v>
      </c>
      <c r="E76" s="21" t="s">
        <v>621</v>
      </c>
      <c r="F76" s="21" t="s">
        <v>621</v>
      </c>
      <c r="G76" s="21" t="s">
        <v>621</v>
      </c>
      <c r="H76" s="21" t="s">
        <v>621</v>
      </c>
      <c r="I76" s="21" t="s">
        <v>621</v>
      </c>
      <c r="J76" s="21" t="s">
        <v>621</v>
      </c>
      <c r="K76" s="21" t="s">
        <v>621</v>
      </c>
    </row>
    <row r="77" spans="1:11" x14ac:dyDescent="0.25">
      <c r="A77" s="20" t="s">
        <v>2894</v>
      </c>
      <c r="B77" s="21" t="s">
        <v>2895</v>
      </c>
      <c r="C77" s="21" t="s">
        <v>621</v>
      </c>
      <c r="D77" s="21" t="s">
        <v>621</v>
      </c>
      <c r="E77" s="21" t="s">
        <v>621</v>
      </c>
      <c r="F77" s="21" t="s">
        <v>621</v>
      </c>
      <c r="G77" s="21" t="s">
        <v>621</v>
      </c>
      <c r="H77" s="21" t="s">
        <v>621</v>
      </c>
      <c r="I77" s="21" t="s">
        <v>621</v>
      </c>
      <c r="J77" s="21" t="s">
        <v>621</v>
      </c>
      <c r="K77" s="21" t="s">
        <v>621</v>
      </c>
    </row>
    <row r="78" spans="1:11" x14ac:dyDescent="0.25">
      <c r="A78" s="20" t="s">
        <v>2896</v>
      </c>
      <c r="B78" s="21" t="s">
        <v>2897</v>
      </c>
      <c r="C78" s="21" t="s">
        <v>621</v>
      </c>
      <c r="D78" s="21" t="s">
        <v>621</v>
      </c>
      <c r="E78" s="21" t="s">
        <v>621</v>
      </c>
      <c r="F78" s="21" t="s">
        <v>621</v>
      </c>
      <c r="G78" s="21" t="s">
        <v>621</v>
      </c>
      <c r="H78" s="21" t="s">
        <v>621</v>
      </c>
      <c r="I78" s="21" t="s">
        <v>621</v>
      </c>
      <c r="J78" s="21" t="s">
        <v>621</v>
      </c>
      <c r="K78" s="21" t="s">
        <v>621</v>
      </c>
    </row>
    <row r="79" spans="1:11" x14ac:dyDescent="0.25">
      <c r="A79" s="20" t="s">
        <v>2898</v>
      </c>
      <c r="B79" s="21" t="s">
        <v>2899</v>
      </c>
      <c r="C79" s="21" t="s">
        <v>621</v>
      </c>
      <c r="D79" s="21" t="s">
        <v>621</v>
      </c>
      <c r="E79" s="21" t="s">
        <v>621</v>
      </c>
      <c r="F79" s="21" t="s">
        <v>621</v>
      </c>
      <c r="G79" s="21" t="s">
        <v>621</v>
      </c>
      <c r="H79" s="21" t="s">
        <v>621</v>
      </c>
      <c r="I79" s="21" t="s">
        <v>621</v>
      </c>
      <c r="J79" s="21" t="s">
        <v>621</v>
      </c>
      <c r="K79" s="21" t="s">
        <v>621</v>
      </c>
    </row>
    <row r="80" spans="1:11" x14ac:dyDescent="0.25">
      <c r="A80" s="20" t="s">
        <v>2900</v>
      </c>
      <c r="B80" s="21" t="s">
        <v>2784</v>
      </c>
      <c r="C80" s="21" t="s">
        <v>2785</v>
      </c>
      <c r="D80" s="21" t="s">
        <v>2786</v>
      </c>
      <c r="E80" s="21" t="s">
        <v>621</v>
      </c>
      <c r="F80" s="21" t="s">
        <v>621</v>
      </c>
      <c r="G80" s="21" t="s">
        <v>621</v>
      </c>
      <c r="H80" s="21" t="s">
        <v>621</v>
      </c>
      <c r="I80" s="21" t="s">
        <v>621</v>
      </c>
      <c r="J80" s="21" t="s">
        <v>621</v>
      </c>
      <c r="K80" s="21" t="s">
        <v>621</v>
      </c>
    </row>
    <row r="81" spans="1:11" x14ac:dyDescent="0.25">
      <c r="A81" s="20" t="s">
        <v>2901</v>
      </c>
      <c r="B81" s="21" t="s">
        <v>2784</v>
      </c>
      <c r="C81" s="21" t="s">
        <v>2785</v>
      </c>
      <c r="D81" s="21" t="s">
        <v>2786</v>
      </c>
      <c r="E81" s="21" t="s">
        <v>621</v>
      </c>
      <c r="F81" s="21" t="s">
        <v>621</v>
      </c>
      <c r="G81" s="21" t="s">
        <v>621</v>
      </c>
      <c r="H81" s="21" t="s">
        <v>621</v>
      </c>
      <c r="I81" s="21" t="s">
        <v>621</v>
      </c>
      <c r="J81" s="21" t="s">
        <v>621</v>
      </c>
      <c r="K81" s="21" t="s">
        <v>621</v>
      </c>
    </row>
    <row r="82" spans="1:11" x14ac:dyDescent="0.25">
      <c r="A82" s="20" t="s">
        <v>2496</v>
      </c>
      <c r="B82" s="21" t="s">
        <v>2480</v>
      </c>
      <c r="C82" s="21" t="s">
        <v>2497</v>
      </c>
      <c r="D82" s="21" t="s">
        <v>621</v>
      </c>
      <c r="E82" s="21" t="s">
        <v>621</v>
      </c>
      <c r="F82" s="21" t="s">
        <v>621</v>
      </c>
      <c r="G82" s="21" t="s">
        <v>621</v>
      </c>
      <c r="H82" s="21" t="s">
        <v>621</v>
      </c>
      <c r="I82" s="21" t="s">
        <v>621</v>
      </c>
      <c r="J82" s="21" t="s">
        <v>621</v>
      </c>
      <c r="K82" s="21" t="s">
        <v>621</v>
      </c>
    </row>
    <row r="83" spans="1:11" x14ac:dyDescent="0.25">
      <c r="A83" s="20" t="s">
        <v>2902</v>
      </c>
      <c r="B83" s="21" t="s">
        <v>2903</v>
      </c>
      <c r="C83" s="21" t="s">
        <v>621</v>
      </c>
      <c r="D83" s="21" t="s">
        <v>621</v>
      </c>
      <c r="E83" s="21" t="s">
        <v>621</v>
      </c>
      <c r="F83" s="21" t="s">
        <v>621</v>
      </c>
      <c r="G83" s="21" t="s">
        <v>621</v>
      </c>
      <c r="H83" s="21" t="s">
        <v>621</v>
      </c>
      <c r="I83" s="21" t="s">
        <v>621</v>
      </c>
      <c r="J83" s="21" t="s">
        <v>621</v>
      </c>
      <c r="K83" s="21" t="s">
        <v>621</v>
      </c>
    </row>
    <row r="84" spans="1:11" x14ac:dyDescent="0.25">
      <c r="A84" s="20" t="s">
        <v>2904</v>
      </c>
      <c r="B84" s="21" t="s">
        <v>2903</v>
      </c>
      <c r="C84" s="21" t="s">
        <v>621</v>
      </c>
      <c r="D84" s="21" t="s">
        <v>621</v>
      </c>
      <c r="E84" s="21" t="s">
        <v>621</v>
      </c>
      <c r="F84" s="21" t="s">
        <v>621</v>
      </c>
      <c r="G84" s="21" t="s">
        <v>621</v>
      </c>
      <c r="H84" s="21" t="s">
        <v>621</v>
      </c>
      <c r="I84" s="21" t="s">
        <v>621</v>
      </c>
      <c r="J84" s="21" t="s">
        <v>621</v>
      </c>
      <c r="K84" s="21" t="s">
        <v>621</v>
      </c>
    </row>
    <row r="85" spans="1:11" x14ac:dyDescent="0.25">
      <c r="A85" s="20" t="s">
        <v>2498</v>
      </c>
      <c r="B85" s="21" t="s">
        <v>2499</v>
      </c>
      <c r="C85" s="21" t="s">
        <v>2500</v>
      </c>
      <c r="D85" s="21" t="s">
        <v>2501</v>
      </c>
      <c r="E85" s="21" t="s">
        <v>2905</v>
      </c>
      <c r="F85" s="21" t="s">
        <v>2906</v>
      </c>
      <c r="G85" s="21" t="s">
        <v>2907</v>
      </c>
      <c r="H85" s="21" t="s">
        <v>2893</v>
      </c>
      <c r="I85" s="21" t="s">
        <v>621</v>
      </c>
      <c r="J85" s="21" t="s">
        <v>621</v>
      </c>
      <c r="K85" s="21" t="s">
        <v>621</v>
      </c>
    </row>
    <row r="86" spans="1:11" x14ac:dyDescent="0.25">
      <c r="A86" s="20" t="s">
        <v>2502</v>
      </c>
      <c r="B86" s="21" t="s">
        <v>2503</v>
      </c>
      <c r="C86" s="21" t="s">
        <v>2504</v>
      </c>
      <c r="D86" s="21" t="s">
        <v>2908</v>
      </c>
      <c r="E86" s="21" t="s">
        <v>2907</v>
      </c>
      <c r="F86" s="21" t="s">
        <v>621</v>
      </c>
      <c r="G86" s="21" t="s">
        <v>621</v>
      </c>
      <c r="H86" s="21" t="s">
        <v>621</v>
      </c>
      <c r="I86" s="21" t="s">
        <v>621</v>
      </c>
      <c r="J86" s="21" t="s">
        <v>621</v>
      </c>
      <c r="K86" s="21" t="s">
        <v>621</v>
      </c>
    </row>
    <row r="87" spans="1:11" x14ac:dyDescent="0.25">
      <c r="A87" s="20" t="s">
        <v>2505</v>
      </c>
      <c r="B87" s="21" t="s">
        <v>2506</v>
      </c>
      <c r="C87" s="21" t="s">
        <v>2909</v>
      </c>
      <c r="D87" s="21" t="s">
        <v>2910</v>
      </c>
      <c r="E87" s="21" t="s">
        <v>621</v>
      </c>
      <c r="F87" s="21" t="s">
        <v>621</v>
      </c>
      <c r="G87" s="21" t="s">
        <v>621</v>
      </c>
      <c r="H87" s="21" t="s">
        <v>621</v>
      </c>
      <c r="I87" s="21" t="s">
        <v>621</v>
      </c>
      <c r="J87" s="21" t="s">
        <v>621</v>
      </c>
      <c r="K87" s="21" t="s">
        <v>621</v>
      </c>
    </row>
    <row r="88" spans="1:11" x14ac:dyDescent="0.25">
      <c r="A88" s="20" t="s">
        <v>2507</v>
      </c>
      <c r="B88" s="21" t="s">
        <v>2508</v>
      </c>
      <c r="C88" s="21" t="s">
        <v>621</v>
      </c>
      <c r="D88" s="21" t="s">
        <v>621</v>
      </c>
      <c r="E88" s="21" t="s">
        <v>621</v>
      </c>
      <c r="F88" s="21" t="s">
        <v>621</v>
      </c>
      <c r="G88" s="21" t="s">
        <v>621</v>
      </c>
      <c r="H88" s="21" t="s">
        <v>621</v>
      </c>
      <c r="I88" s="21" t="s">
        <v>621</v>
      </c>
      <c r="J88" s="21" t="s">
        <v>621</v>
      </c>
      <c r="K88" s="21" t="s">
        <v>621</v>
      </c>
    </row>
    <row r="89" spans="1:11" x14ac:dyDescent="0.25">
      <c r="A89" s="20" t="s">
        <v>2911</v>
      </c>
      <c r="B89" s="21" t="s">
        <v>2912</v>
      </c>
      <c r="C89" s="21" t="s">
        <v>2913</v>
      </c>
      <c r="D89" s="21" t="s">
        <v>2912</v>
      </c>
      <c r="E89" s="21" t="s">
        <v>2913</v>
      </c>
      <c r="F89" s="21" t="s">
        <v>621</v>
      </c>
      <c r="G89" s="21" t="s">
        <v>621</v>
      </c>
      <c r="H89" s="21" t="s">
        <v>621</v>
      </c>
      <c r="I89" s="21" t="s">
        <v>621</v>
      </c>
      <c r="J89" s="21" t="s">
        <v>621</v>
      </c>
      <c r="K89" s="21" t="s">
        <v>621</v>
      </c>
    </row>
    <row r="90" spans="1:11" x14ac:dyDescent="0.25">
      <c r="A90" s="20" t="s">
        <v>2914</v>
      </c>
      <c r="B90" s="21" t="s">
        <v>2885</v>
      </c>
      <c r="C90" s="21" t="s">
        <v>2886</v>
      </c>
      <c r="D90" s="21" t="s">
        <v>2885</v>
      </c>
      <c r="E90" s="21" t="s">
        <v>2886</v>
      </c>
      <c r="F90" s="21" t="s">
        <v>621</v>
      </c>
      <c r="G90" s="21" t="s">
        <v>621</v>
      </c>
      <c r="H90" s="21" t="s">
        <v>621</v>
      </c>
      <c r="I90" s="21" t="s">
        <v>621</v>
      </c>
      <c r="J90" s="21" t="s">
        <v>621</v>
      </c>
      <c r="K90" s="21" t="s">
        <v>621</v>
      </c>
    </row>
    <row r="91" spans="1:11" x14ac:dyDescent="0.25">
      <c r="A91" s="20" t="s">
        <v>2509</v>
      </c>
      <c r="B91" s="21" t="s">
        <v>2510</v>
      </c>
      <c r="C91" s="21" t="s">
        <v>2915</v>
      </c>
      <c r="D91" s="21" t="s">
        <v>2916</v>
      </c>
      <c r="E91" s="21" t="s">
        <v>2915</v>
      </c>
      <c r="F91" s="21" t="s">
        <v>2916</v>
      </c>
      <c r="G91" s="21" t="s">
        <v>621</v>
      </c>
      <c r="H91" s="21" t="s">
        <v>621</v>
      </c>
      <c r="I91" s="21" t="s">
        <v>621</v>
      </c>
      <c r="J91" s="21" t="s">
        <v>621</v>
      </c>
      <c r="K91" s="21" t="s">
        <v>621</v>
      </c>
    </row>
    <row r="92" spans="1:11" x14ac:dyDescent="0.25">
      <c r="A92" s="20" t="s">
        <v>2511</v>
      </c>
      <c r="B92" s="21" t="s">
        <v>2512</v>
      </c>
      <c r="C92" s="21" t="s">
        <v>621</v>
      </c>
      <c r="D92" s="21" t="s">
        <v>621</v>
      </c>
      <c r="E92" s="21" t="s">
        <v>621</v>
      </c>
      <c r="F92" s="21" t="s">
        <v>621</v>
      </c>
      <c r="G92" s="21" t="s">
        <v>621</v>
      </c>
      <c r="H92" s="21" t="s">
        <v>621</v>
      </c>
      <c r="I92" s="21" t="s">
        <v>621</v>
      </c>
      <c r="J92" s="21" t="s">
        <v>621</v>
      </c>
      <c r="K92" s="21" t="s">
        <v>621</v>
      </c>
    </row>
    <row r="93" spans="1:11" x14ac:dyDescent="0.25">
      <c r="A93" s="20" t="s">
        <v>2917</v>
      </c>
      <c r="B93" s="21" t="s">
        <v>2918</v>
      </c>
      <c r="C93" s="21" t="s">
        <v>2919</v>
      </c>
      <c r="D93" s="21" t="s">
        <v>2920</v>
      </c>
      <c r="E93" s="21" t="s">
        <v>621</v>
      </c>
      <c r="F93" s="21" t="s">
        <v>621</v>
      </c>
      <c r="G93" s="21" t="s">
        <v>621</v>
      </c>
      <c r="H93" s="21" t="s">
        <v>621</v>
      </c>
      <c r="I93" s="21" t="s">
        <v>621</v>
      </c>
      <c r="J93" s="21" t="s">
        <v>621</v>
      </c>
      <c r="K93" s="21" t="s">
        <v>621</v>
      </c>
    </row>
    <row r="94" spans="1:11" x14ac:dyDescent="0.25">
      <c r="A94" s="20" t="s">
        <v>2513</v>
      </c>
      <c r="B94" s="21" t="s">
        <v>2514</v>
      </c>
      <c r="C94" s="21" t="s">
        <v>621</v>
      </c>
      <c r="D94" s="21" t="s">
        <v>621</v>
      </c>
      <c r="E94" s="21" t="s">
        <v>621</v>
      </c>
      <c r="F94" s="21" t="s">
        <v>621</v>
      </c>
      <c r="G94" s="21" t="s">
        <v>621</v>
      </c>
      <c r="H94" s="21" t="s">
        <v>621</v>
      </c>
      <c r="I94" s="21" t="s">
        <v>621</v>
      </c>
      <c r="J94" s="21" t="s">
        <v>621</v>
      </c>
      <c r="K94" s="21" t="s">
        <v>621</v>
      </c>
    </row>
    <row r="95" spans="1:11" x14ac:dyDescent="0.25">
      <c r="A95" s="20" t="s">
        <v>2515</v>
      </c>
      <c r="B95" s="21" t="s">
        <v>2516</v>
      </c>
      <c r="C95" s="21" t="s">
        <v>2517</v>
      </c>
      <c r="D95" s="21" t="s">
        <v>2918</v>
      </c>
      <c r="E95" s="21" t="s">
        <v>2919</v>
      </c>
      <c r="F95" s="21" t="s">
        <v>2920</v>
      </c>
      <c r="G95" s="21" t="s">
        <v>621</v>
      </c>
      <c r="H95" s="21" t="s">
        <v>621</v>
      </c>
      <c r="I95" s="21" t="s">
        <v>621</v>
      </c>
      <c r="J95" s="21" t="s">
        <v>621</v>
      </c>
      <c r="K95" s="21" t="s">
        <v>621</v>
      </c>
    </row>
    <row r="96" spans="1:11" x14ac:dyDescent="0.25">
      <c r="A96" s="20" t="s">
        <v>2921</v>
      </c>
      <c r="B96" s="21" t="s">
        <v>2922</v>
      </c>
      <c r="C96" s="21" t="s">
        <v>621</v>
      </c>
      <c r="D96" s="21" t="s">
        <v>621</v>
      </c>
      <c r="E96" s="21" t="s">
        <v>621</v>
      </c>
      <c r="F96" s="21" t="s">
        <v>621</v>
      </c>
      <c r="G96" s="21" t="s">
        <v>621</v>
      </c>
      <c r="H96" s="21" t="s">
        <v>621</v>
      </c>
      <c r="I96" s="21" t="s">
        <v>621</v>
      </c>
      <c r="J96" s="21" t="s">
        <v>621</v>
      </c>
      <c r="K96" s="21" t="s">
        <v>621</v>
      </c>
    </row>
    <row r="97" spans="1:11" x14ac:dyDescent="0.25">
      <c r="A97" s="20" t="s">
        <v>2923</v>
      </c>
      <c r="B97" s="21" t="s">
        <v>2922</v>
      </c>
      <c r="C97" s="21" t="s">
        <v>621</v>
      </c>
      <c r="D97" s="21" t="s">
        <v>621</v>
      </c>
      <c r="E97" s="21" t="s">
        <v>621</v>
      </c>
      <c r="F97" s="21" t="s">
        <v>621</v>
      </c>
      <c r="G97" s="21" t="s">
        <v>621</v>
      </c>
      <c r="H97" s="21" t="s">
        <v>621</v>
      </c>
      <c r="I97" s="21" t="s">
        <v>621</v>
      </c>
      <c r="J97" s="21" t="s">
        <v>621</v>
      </c>
      <c r="K97" s="21" t="s">
        <v>621</v>
      </c>
    </row>
    <row r="98" spans="1:11" x14ac:dyDescent="0.25">
      <c r="A98" s="20" t="s">
        <v>2924</v>
      </c>
      <c r="B98" s="21" t="s">
        <v>2925</v>
      </c>
      <c r="C98" s="21" t="s">
        <v>621</v>
      </c>
      <c r="D98" s="21" t="s">
        <v>621</v>
      </c>
      <c r="E98" s="21" t="s">
        <v>621</v>
      </c>
      <c r="F98" s="21" t="s">
        <v>621</v>
      </c>
      <c r="G98" s="21" t="s">
        <v>621</v>
      </c>
      <c r="H98" s="21" t="s">
        <v>621</v>
      </c>
      <c r="I98" s="21" t="s">
        <v>621</v>
      </c>
      <c r="J98" s="21" t="s">
        <v>621</v>
      </c>
      <c r="K98" s="21" t="s">
        <v>621</v>
      </c>
    </row>
    <row r="99" spans="1:11" x14ac:dyDescent="0.25">
      <c r="A99" s="20" t="s">
        <v>2926</v>
      </c>
      <c r="B99" s="21" t="s">
        <v>2925</v>
      </c>
      <c r="C99" s="21" t="s">
        <v>621</v>
      </c>
      <c r="D99" s="21" t="s">
        <v>621</v>
      </c>
      <c r="E99" s="21" t="s">
        <v>621</v>
      </c>
      <c r="F99" s="21" t="s">
        <v>621</v>
      </c>
      <c r="G99" s="21" t="s">
        <v>621</v>
      </c>
      <c r="H99" s="21" t="s">
        <v>621</v>
      </c>
      <c r="I99" s="21" t="s">
        <v>621</v>
      </c>
      <c r="J99" s="21" t="s">
        <v>621</v>
      </c>
      <c r="K99" s="21" t="s">
        <v>621</v>
      </c>
    </row>
    <row r="100" spans="1:11" x14ac:dyDescent="0.25">
      <c r="A100" s="20" t="s">
        <v>2927</v>
      </c>
      <c r="B100" s="21" t="s">
        <v>2920</v>
      </c>
      <c r="C100" s="21" t="s">
        <v>2920</v>
      </c>
      <c r="D100" s="21" t="s">
        <v>2920</v>
      </c>
      <c r="E100" s="21" t="s">
        <v>2919</v>
      </c>
      <c r="F100" s="21" t="s">
        <v>621</v>
      </c>
      <c r="G100" s="21" t="s">
        <v>621</v>
      </c>
      <c r="H100" s="21" t="s">
        <v>621</v>
      </c>
      <c r="I100" s="21" t="s">
        <v>621</v>
      </c>
      <c r="J100" s="21" t="s">
        <v>621</v>
      </c>
      <c r="K100" s="21" t="s">
        <v>621</v>
      </c>
    </row>
    <row r="101" spans="1:11" x14ac:dyDescent="0.25">
      <c r="A101" s="20" t="s">
        <v>2518</v>
      </c>
      <c r="B101" s="21" t="s">
        <v>2514</v>
      </c>
      <c r="C101" s="21" t="s">
        <v>2928</v>
      </c>
      <c r="D101" s="21" t="s">
        <v>2929</v>
      </c>
      <c r="E101" s="21" t="s">
        <v>621</v>
      </c>
      <c r="F101" s="21" t="s">
        <v>621</v>
      </c>
      <c r="G101" s="21" t="s">
        <v>621</v>
      </c>
      <c r="H101" s="21" t="s">
        <v>621</v>
      </c>
      <c r="I101" s="21" t="s">
        <v>621</v>
      </c>
      <c r="J101" s="21" t="s">
        <v>621</v>
      </c>
      <c r="K101" s="21" t="s">
        <v>621</v>
      </c>
    </row>
    <row r="102" spans="1:11" x14ac:dyDescent="0.25">
      <c r="A102" s="20" t="s">
        <v>2519</v>
      </c>
      <c r="B102" s="21" t="s">
        <v>2517</v>
      </c>
      <c r="C102" s="21" t="s">
        <v>2516</v>
      </c>
      <c r="D102" s="21" t="s">
        <v>2920</v>
      </c>
      <c r="E102" s="21" t="s">
        <v>2918</v>
      </c>
      <c r="F102" s="21" t="s">
        <v>2919</v>
      </c>
      <c r="G102" s="21" t="s">
        <v>621</v>
      </c>
      <c r="H102" s="21" t="s">
        <v>621</v>
      </c>
      <c r="I102" s="21" t="s">
        <v>621</v>
      </c>
      <c r="J102" s="21" t="s">
        <v>621</v>
      </c>
      <c r="K102" s="21" t="s">
        <v>621</v>
      </c>
    </row>
    <row r="103" spans="1:11" x14ac:dyDescent="0.25">
      <c r="A103" s="20" t="s">
        <v>2930</v>
      </c>
      <c r="B103" s="21" t="s">
        <v>2928</v>
      </c>
      <c r="C103" s="21" t="s">
        <v>621</v>
      </c>
      <c r="D103" s="21" t="s">
        <v>621</v>
      </c>
      <c r="E103" s="21" t="s">
        <v>621</v>
      </c>
      <c r="F103" s="21" t="s">
        <v>621</v>
      </c>
      <c r="G103" s="21" t="s">
        <v>621</v>
      </c>
      <c r="H103" s="21" t="s">
        <v>621</v>
      </c>
      <c r="I103" s="21" t="s">
        <v>621</v>
      </c>
      <c r="J103" s="21" t="s">
        <v>621</v>
      </c>
      <c r="K103" s="21" t="s">
        <v>621</v>
      </c>
    </row>
    <row r="104" spans="1:11" x14ac:dyDescent="0.25">
      <c r="A104" s="20" t="s">
        <v>2931</v>
      </c>
      <c r="B104" s="21" t="s">
        <v>2920</v>
      </c>
      <c r="C104" s="21" t="s">
        <v>2928</v>
      </c>
      <c r="D104" s="21" t="s">
        <v>621</v>
      </c>
      <c r="E104" s="21" t="s">
        <v>621</v>
      </c>
      <c r="F104" s="21" t="s">
        <v>621</v>
      </c>
      <c r="G104" s="21" t="s">
        <v>621</v>
      </c>
      <c r="H104" s="21" t="s">
        <v>621</v>
      </c>
      <c r="I104" s="21" t="s">
        <v>621</v>
      </c>
      <c r="J104" s="21" t="s">
        <v>621</v>
      </c>
      <c r="K104" s="21" t="s">
        <v>621</v>
      </c>
    </row>
    <row r="105" spans="1:11" x14ac:dyDescent="0.25">
      <c r="A105" s="20" t="s">
        <v>2932</v>
      </c>
      <c r="B105" s="21" t="s">
        <v>2920</v>
      </c>
      <c r="C105" s="21" t="s">
        <v>621</v>
      </c>
      <c r="D105" s="21" t="s">
        <v>621</v>
      </c>
      <c r="E105" s="21" t="s">
        <v>621</v>
      </c>
      <c r="F105" s="21" t="s">
        <v>621</v>
      </c>
      <c r="G105" s="21" t="s">
        <v>621</v>
      </c>
      <c r="H105" s="21" t="s">
        <v>621</v>
      </c>
      <c r="I105" s="21" t="s">
        <v>621</v>
      </c>
      <c r="J105" s="21" t="s">
        <v>621</v>
      </c>
      <c r="K105" s="21" t="s">
        <v>621</v>
      </c>
    </row>
    <row r="106" spans="1:11" x14ac:dyDescent="0.25">
      <c r="A106" s="20" t="s">
        <v>2933</v>
      </c>
      <c r="B106" s="21" t="s">
        <v>2929</v>
      </c>
      <c r="C106" s="21" t="s">
        <v>621</v>
      </c>
      <c r="D106" s="21" t="s">
        <v>621</v>
      </c>
      <c r="E106" s="21" t="s">
        <v>621</v>
      </c>
      <c r="F106" s="21" t="s">
        <v>621</v>
      </c>
      <c r="G106" s="21" t="s">
        <v>621</v>
      </c>
      <c r="H106" s="21" t="s">
        <v>621</v>
      </c>
      <c r="I106" s="21" t="s">
        <v>621</v>
      </c>
      <c r="J106" s="21" t="s">
        <v>621</v>
      </c>
      <c r="K106" s="21" t="s">
        <v>621</v>
      </c>
    </row>
    <row r="107" spans="1:11" x14ac:dyDescent="0.25">
      <c r="A107" s="20" t="s">
        <v>2934</v>
      </c>
      <c r="B107" s="21" t="s">
        <v>2918</v>
      </c>
      <c r="C107" s="21" t="s">
        <v>621</v>
      </c>
      <c r="D107" s="21" t="s">
        <v>621</v>
      </c>
      <c r="E107" s="21" t="s">
        <v>621</v>
      </c>
      <c r="F107" s="21" t="s">
        <v>621</v>
      </c>
      <c r="G107" s="21" t="s">
        <v>621</v>
      </c>
      <c r="H107" s="21" t="s">
        <v>621</v>
      </c>
      <c r="I107" s="21" t="s">
        <v>621</v>
      </c>
      <c r="J107" s="21" t="s">
        <v>621</v>
      </c>
      <c r="K107" s="21" t="s">
        <v>621</v>
      </c>
    </row>
    <row r="108" spans="1:11" x14ac:dyDescent="0.25">
      <c r="A108" s="20" t="s">
        <v>2935</v>
      </c>
      <c r="B108" s="21" t="s">
        <v>2936</v>
      </c>
      <c r="C108" s="21" t="s">
        <v>621</v>
      </c>
      <c r="D108" s="21" t="s">
        <v>621</v>
      </c>
      <c r="E108" s="21" t="s">
        <v>621</v>
      </c>
      <c r="F108" s="21" t="s">
        <v>621</v>
      </c>
      <c r="G108" s="21" t="s">
        <v>621</v>
      </c>
      <c r="H108" s="21" t="s">
        <v>621</v>
      </c>
      <c r="I108" s="21" t="s">
        <v>621</v>
      </c>
      <c r="J108" s="21" t="s">
        <v>621</v>
      </c>
      <c r="K108" s="21" t="s">
        <v>621</v>
      </c>
    </row>
    <row r="109" spans="1:11" x14ac:dyDescent="0.25">
      <c r="A109" s="20" t="s">
        <v>2937</v>
      </c>
      <c r="B109" s="21" t="s">
        <v>2938</v>
      </c>
      <c r="C109" s="21" t="s">
        <v>621</v>
      </c>
      <c r="D109" s="21" t="s">
        <v>621</v>
      </c>
      <c r="E109" s="21" t="s">
        <v>621</v>
      </c>
      <c r="F109" s="21" t="s">
        <v>621</v>
      </c>
      <c r="G109" s="21" t="s">
        <v>621</v>
      </c>
      <c r="H109" s="21" t="s">
        <v>621</v>
      </c>
      <c r="I109" s="21" t="s">
        <v>621</v>
      </c>
      <c r="J109" s="21" t="s">
        <v>621</v>
      </c>
      <c r="K109" s="21" t="s">
        <v>621</v>
      </c>
    </row>
    <row r="110" spans="1:11" x14ac:dyDescent="0.25">
      <c r="A110" s="20" t="s">
        <v>2939</v>
      </c>
      <c r="B110" s="21" t="s">
        <v>2940</v>
      </c>
      <c r="C110" s="21" t="s">
        <v>621</v>
      </c>
      <c r="D110" s="21" t="s">
        <v>621</v>
      </c>
      <c r="E110" s="21" t="s">
        <v>621</v>
      </c>
      <c r="F110" s="21" t="s">
        <v>621</v>
      </c>
      <c r="G110" s="21" t="s">
        <v>621</v>
      </c>
      <c r="H110" s="21" t="s">
        <v>621</v>
      </c>
      <c r="I110" s="21" t="s">
        <v>621</v>
      </c>
      <c r="J110" s="21" t="s">
        <v>621</v>
      </c>
      <c r="K110" s="21" t="s">
        <v>621</v>
      </c>
    </row>
    <row r="111" spans="1:11" x14ac:dyDescent="0.25">
      <c r="A111" s="20" t="s">
        <v>2941</v>
      </c>
      <c r="B111" s="21" t="s">
        <v>2942</v>
      </c>
      <c r="C111" s="21" t="s">
        <v>621</v>
      </c>
      <c r="D111" s="21" t="s">
        <v>621</v>
      </c>
      <c r="E111" s="21" t="s">
        <v>621</v>
      </c>
      <c r="F111" s="21" t="s">
        <v>621</v>
      </c>
      <c r="G111" s="21" t="s">
        <v>621</v>
      </c>
      <c r="H111" s="21" t="s">
        <v>621</v>
      </c>
      <c r="I111" s="21" t="s">
        <v>621</v>
      </c>
      <c r="J111" s="21" t="s">
        <v>621</v>
      </c>
      <c r="K111" s="21" t="s">
        <v>621</v>
      </c>
    </row>
    <row r="112" spans="1:11" x14ac:dyDescent="0.25">
      <c r="A112" s="20" t="s">
        <v>2943</v>
      </c>
      <c r="B112" s="21" t="s">
        <v>2944</v>
      </c>
      <c r="C112" s="21" t="s">
        <v>621</v>
      </c>
      <c r="D112" s="21" t="s">
        <v>621</v>
      </c>
      <c r="E112" s="21" t="s">
        <v>621</v>
      </c>
      <c r="F112" s="21" t="s">
        <v>621</v>
      </c>
      <c r="G112" s="21" t="s">
        <v>621</v>
      </c>
      <c r="H112" s="21" t="s">
        <v>621</v>
      </c>
      <c r="I112" s="21" t="s">
        <v>621</v>
      </c>
      <c r="J112" s="21" t="s">
        <v>621</v>
      </c>
      <c r="K112" s="21" t="s">
        <v>621</v>
      </c>
    </row>
    <row r="113" spans="1:11" x14ac:dyDescent="0.25">
      <c r="A113" s="20" t="s">
        <v>2945</v>
      </c>
      <c r="B113" s="21" t="s">
        <v>2946</v>
      </c>
      <c r="C113" s="21" t="s">
        <v>621</v>
      </c>
      <c r="D113" s="21" t="s">
        <v>621</v>
      </c>
      <c r="E113" s="21" t="s">
        <v>621</v>
      </c>
      <c r="F113" s="21" t="s">
        <v>621</v>
      </c>
      <c r="G113" s="21" t="s">
        <v>621</v>
      </c>
      <c r="H113" s="21" t="s">
        <v>621</v>
      </c>
      <c r="I113" s="21" t="s">
        <v>621</v>
      </c>
      <c r="J113" s="21" t="s">
        <v>621</v>
      </c>
      <c r="K113" s="21" t="s">
        <v>621</v>
      </c>
    </row>
    <row r="114" spans="1:11" x14ac:dyDescent="0.25">
      <c r="A114" s="20" t="s">
        <v>2947</v>
      </c>
      <c r="B114" s="21" t="s">
        <v>2948</v>
      </c>
      <c r="C114" s="21" t="s">
        <v>2811</v>
      </c>
      <c r="D114" s="21" t="s">
        <v>621</v>
      </c>
      <c r="E114" s="21" t="s">
        <v>621</v>
      </c>
      <c r="F114" s="21" t="s">
        <v>621</v>
      </c>
      <c r="G114" s="21" t="s">
        <v>621</v>
      </c>
      <c r="H114" s="21" t="s">
        <v>621</v>
      </c>
      <c r="I114" s="21" t="s">
        <v>621</v>
      </c>
      <c r="J114" s="21" t="s">
        <v>621</v>
      </c>
      <c r="K114" s="21" t="s">
        <v>621</v>
      </c>
    </row>
    <row r="115" spans="1:11" x14ac:dyDescent="0.25">
      <c r="A115" s="20" t="s">
        <v>2949</v>
      </c>
      <c r="B115" s="21" t="s">
        <v>2950</v>
      </c>
      <c r="C115" s="21" t="s">
        <v>621</v>
      </c>
      <c r="D115" s="21" t="s">
        <v>621</v>
      </c>
      <c r="E115" s="21" t="s">
        <v>621</v>
      </c>
      <c r="F115" s="21" t="s">
        <v>621</v>
      </c>
      <c r="G115" s="21" t="s">
        <v>621</v>
      </c>
      <c r="H115" s="21" t="s">
        <v>621</v>
      </c>
      <c r="I115" s="21" t="s">
        <v>621</v>
      </c>
      <c r="J115" s="21" t="s">
        <v>621</v>
      </c>
      <c r="K115" s="21" t="s">
        <v>621</v>
      </c>
    </row>
    <row r="116" spans="1:11" x14ac:dyDescent="0.25">
      <c r="A116" s="20" t="s">
        <v>2951</v>
      </c>
      <c r="B116" s="21" t="s">
        <v>2950</v>
      </c>
      <c r="C116" s="21" t="s">
        <v>621</v>
      </c>
      <c r="D116" s="21" t="s">
        <v>621</v>
      </c>
      <c r="E116" s="21" t="s">
        <v>621</v>
      </c>
      <c r="F116" s="21" t="s">
        <v>621</v>
      </c>
      <c r="G116" s="21" t="s">
        <v>621</v>
      </c>
      <c r="H116" s="21" t="s">
        <v>621</v>
      </c>
      <c r="I116" s="21" t="s">
        <v>621</v>
      </c>
      <c r="J116" s="21" t="s">
        <v>621</v>
      </c>
      <c r="K116" s="21" t="s">
        <v>621</v>
      </c>
    </row>
    <row r="117" spans="1:11" x14ac:dyDescent="0.25">
      <c r="A117" s="20" t="s">
        <v>2952</v>
      </c>
      <c r="B117" s="21" t="s">
        <v>2950</v>
      </c>
      <c r="C117" s="21" t="s">
        <v>621</v>
      </c>
      <c r="D117" s="21" t="s">
        <v>621</v>
      </c>
      <c r="E117" s="21" t="s">
        <v>621</v>
      </c>
      <c r="F117" s="21" t="s">
        <v>621</v>
      </c>
      <c r="G117" s="21" t="s">
        <v>621</v>
      </c>
      <c r="H117" s="21" t="s">
        <v>621</v>
      </c>
      <c r="I117" s="21" t="s">
        <v>621</v>
      </c>
      <c r="J117" s="21" t="s">
        <v>621</v>
      </c>
      <c r="K117" s="21" t="s">
        <v>621</v>
      </c>
    </row>
    <row r="118" spans="1:11" x14ac:dyDescent="0.25">
      <c r="A118" s="20" t="s">
        <v>2953</v>
      </c>
      <c r="B118" s="21" t="s">
        <v>2954</v>
      </c>
      <c r="C118" s="21" t="s">
        <v>621</v>
      </c>
      <c r="D118" s="21" t="s">
        <v>621</v>
      </c>
      <c r="E118" s="21" t="s">
        <v>621</v>
      </c>
      <c r="F118" s="21" t="s">
        <v>621</v>
      </c>
      <c r="G118" s="21" t="s">
        <v>621</v>
      </c>
      <c r="H118" s="21" t="s">
        <v>621</v>
      </c>
      <c r="I118" s="21" t="s">
        <v>621</v>
      </c>
      <c r="J118" s="21" t="s">
        <v>621</v>
      </c>
      <c r="K118" s="21" t="s">
        <v>621</v>
      </c>
    </row>
    <row r="119" spans="1:11" x14ac:dyDescent="0.25">
      <c r="A119" s="20" t="s">
        <v>2955</v>
      </c>
      <c r="B119" s="21" t="s">
        <v>2954</v>
      </c>
      <c r="C119" s="21" t="s">
        <v>621</v>
      </c>
      <c r="D119" s="21" t="s">
        <v>621</v>
      </c>
      <c r="E119" s="21" t="s">
        <v>621</v>
      </c>
      <c r="F119" s="21" t="s">
        <v>621</v>
      </c>
      <c r="G119" s="21" t="s">
        <v>621</v>
      </c>
      <c r="H119" s="21" t="s">
        <v>621</v>
      </c>
      <c r="I119" s="21" t="s">
        <v>621</v>
      </c>
      <c r="J119" s="21" t="s">
        <v>621</v>
      </c>
      <c r="K119" s="21" t="s">
        <v>621</v>
      </c>
    </row>
    <row r="120" spans="1:11" x14ac:dyDescent="0.25">
      <c r="A120" s="20" t="s">
        <v>2956</v>
      </c>
      <c r="B120" s="21" t="s">
        <v>2957</v>
      </c>
      <c r="C120" s="21" t="s">
        <v>2958</v>
      </c>
      <c r="D120" s="21" t="s">
        <v>621</v>
      </c>
      <c r="E120" s="21" t="s">
        <v>621</v>
      </c>
      <c r="F120" s="21" t="s">
        <v>621</v>
      </c>
      <c r="G120" s="21" t="s">
        <v>621</v>
      </c>
      <c r="H120" s="21" t="s">
        <v>621</v>
      </c>
      <c r="I120" s="21" t="s">
        <v>621</v>
      </c>
      <c r="J120" s="21" t="s">
        <v>621</v>
      </c>
      <c r="K120" s="21" t="s">
        <v>621</v>
      </c>
    </row>
    <row r="121" spans="1:11" x14ac:dyDescent="0.25">
      <c r="A121" s="20" t="s">
        <v>2959</v>
      </c>
      <c r="B121" s="21" t="s">
        <v>2960</v>
      </c>
      <c r="C121" s="21" t="s">
        <v>621</v>
      </c>
      <c r="D121" s="21" t="s">
        <v>621</v>
      </c>
      <c r="E121" s="21" t="s">
        <v>621</v>
      </c>
      <c r="F121" s="21" t="s">
        <v>621</v>
      </c>
      <c r="G121" s="21" t="s">
        <v>621</v>
      </c>
      <c r="H121" s="21" t="s">
        <v>621</v>
      </c>
      <c r="I121" s="21" t="s">
        <v>621</v>
      </c>
      <c r="J121" s="21" t="s">
        <v>621</v>
      </c>
      <c r="K121" s="21" t="s">
        <v>621</v>
      </c>
    </row>
    <row r="122" spans="1:11" x14ac:dyDescent="0.25">
      <c r="A122" s="20" t="s">
        <v>2961</v>
      </c>
      <c r="B122" s="21" t="s">
        <v>2962</v>
      </c>
      <c r="C122" s="21" t="s">
        <v>2963</v>
      </c>
      <c r="D122" s="21" t="s">
        <v>2964</v>
      </c>
      <c r="E122" s="21" t="s">
        <v>621</v>
      </c>
      <c r="F122" s="21" t="s">
        <v>621</v>
      </c>
      <c r="G122" s="21" t="s">
        <v>621</v>
      </c>
      <c r="H122" s="21" t="s">
        <v>621</v>
      </c>
      <c r="I122" s="21" t="s">
        <v>621</v>
      </c>
      <c r="J122" s="21" t="s">
        <v>621</v>
      </c>
      <c r="K122" s="21" t="s">
        <v>621</v>
      </c>
    </row>
    <row r="123" spans="1:11" x14ac:dyDescent="0.25">
      <c r="A123" s="20" t="s">
        <v>2965</v>
      </c>
      <c r="B123" s="21" t="s">
        <v>2962</v>
      </c>
      <c r="C123" s="21" t="s">
        <v>2963</v>
      </c>
      <c r="D123" s="21" t="s">
        <v>2964</v>
      </c>
      <c r="E123" s="21" t="s">
        <v>621</v>
      </c>
      <c r="F123" s="21" t="s">
        <v>621</v>
      </c>
      <c r="G123" s="21" t="s">
        <v>621</v>
      </c>
      <c r="H123" s="21" t="s">
        <v>621</v>
      </c>
      <c r="I123" s="21" t="s">
        <v>621</v>
      </c>
      <c r="J123" s="21" t="s">
        <v>621</v>
      </c>
      <c r="K123" s="21" t="s">
        <v>621</v>
      </c>
    </row>
    <row r="124" spans="1:11" x14ac:dyDescent="0.25">
      <c r="A124" s="20" t="s">
        <v>2966</v>
      </c>
      <c r="B124" s="21" t="s">
        <v>2967</v>
      </c>
      <c r="C124" s="21" t="s">
        <v>2968</v>
      </c>
      <c r="D124" s="21" t="s">
        <v>621</v>
      </c>
      <c r="E124" s="21" t="s">
        <v>621</v>
      </c>
      <c r="F124" s="21" t="s">
        <v>621</v>
      </c>
      <c r="G124" s="21" t="s">
        <v>621</v>
      </c>
      <c r="H124" s="21" t="s">
        <v>621</v>
      </c>
      <c r="I124" s="21" t="s">
        <v>621</v>
      </c>
      <c r="J124" s="21" t="s">
        <v>621</v>
      </c>
      <c r="K124" s="21" t="s">
        <v>621</v>
      </c>
    </row>
    <row r="125" spans="1:11" x14ac:dyDescent="0.25">
      <c r="A125" s="20" t="s">
        <v>2969</v>
      </c>
      <c r="B125" s="21" t="s">
        <v>2970</v>
      </c>
      <c r="C125" s="21" t="s">
        <v>621</v>
      </c>
      <c r="D125" s="21" t="s">
        <v>621</v>
      </c>
      <c r="E125" s="21" t="s">
        <v>621</v>
      </c>
      <c r="F125" s="21" t="s">
        <v>621</v>
      </c>
      <c r="G125" s="21" t="s">
        <v>621</v>
      </c>
      <c r="H125" s="21" t="s">
        <v>621</v>
      </c>
      <c r="I125" s="21" t="s">
        <v>621</v>
      </c>
      <c r="J125" s="21" t="s">
        <v>621</v>
      </c>
      <c r="K125" s="21" t="s">
        <v>621</v>
      </c>
    </row>
    <row r="126" spans="1:11" x14ac:dyDescent="0.25">
      <c r="A126" s="20" t="s">
        <v>2971</v>
      </c>
      <c r="B126" s="21" t="s">
        <v>2972</v>
      </c>
      <c r="C126" s="21" t="s">
        <v>621</v>
      </c>
      <c r="D126" s="21" t="s">
        <v>621</v>
      </c>
      <c r="E126" s="21" t="s">
        <v>621</v>
      </c>
      <c r="F126" s="21" t="s">
        <v>621</v>
      </c>
      <c r="G126" s="21" t="s">
        <v>621</v>
      </c>
      <c r="H126" s="21" t="s">
        <v>621</v>
      </c>
      <c r="I126" s="21" t="s">
        <v>621</v>
      </c>
      <c r="J126" s="21" t="s">
        <v>621</v>
      </c>
      <c r="K126" s="21" t="s">
        <v>621</v>
      </c>
    </row>
    <row r="127" spans="1:11" x14ac:dyDescent="0.25">
      <c r="A127" s="20" t="s">
        <v>2973</v>
      </c>
      <c r="B127" s="21" t="s">
        <v>2974</v>
      </c>
      <c r="C127" s="21" t="s">
        <v>621</v>
      </c>
      <c r="D127" s="21" t="s">
        <v>621</v>
      </c>
      <c r="E127" s="21" t="s">
        <v>621</v>
      </c>
      <c r="F127" s="21" t="s">
        <v>621</v>
      </c>
      <c r="G127" s="21" t="s">
        <v>621</v>
      </c>
      <c r="H127" s="21" t="s">
        <v>621</v>
      </c>
      <c r="I127" s="21" t="s">
        <v>621</v>
      </c>
      <c r="J127" s="21" t="s">
        <v>621</v>
      </c>
      <c r="K127" s="21" t="s">
        <v>621</v>
      </c>
    </row>
    <row r="128" spans="1:11" x14ac:dyDescent="0.25">
      <c r="A128" s="20" t="s">
        <v>2520</v>
      </c>
      <c r="B128" s="21" t="s">
        <v>2460</v>
      </c>
      <c r="C128" s="21" t="s">
        <v>2521</v>
      </c>
      <c r="D128" s="21" t="s">
        <v>2480</v>
      </c>
      <c r="E128" s="21" t="s">
        <v>2522</v>
      </c>
      <c r="F128" s="21" t="s">
        <v>2497</v>
      </c>
      <c r="G128" s="21" t="s">
        <v>2523</v>
      </c>
      <c r="H128" s="21" t="s">
        <v>2975</v>
      </c>
      <c r="I128" s="21" t="s">
        <v>2976</v>
      </c>
      <c r="J128" s="21" t="s">
        <v>621</v>
      </c>
      <c r="K128" s="21" t="s">
        <v>621</v>
      </c>
    </row>
    <row r="129" spans="1:11" x14ac:dyDescent="0.25">
      <c r="A129" s="20" t="s">
        <v>2977</v>
      </c>
      <c r="B129" s="21" t="s">
        <v>2978</v>
      </c>
      <c r="C129" s="21" t="s">
        <v>621</v>
      </c>
      <c r="D129" s="21" t="s">
        <v>621</v>
      </c>
      <c r="E129" s="21" t="s">
        <v>621</v>
      </c>
      <c r="F129" s="21" t="s">
        <v>621</v>
      </c>
      <c r="G129" s="21" t="s">
        <v>621</v>
      </c>
      <c r="H129" s="21" t="s">
        <v>621</v>
      </c>
      <c r="I129" s="21" t="s">
        <v>621</v>
      </c>
      <c r="J129" s="21" t="s">
        <v>621</v>
      </c>
      <c r="K129" s="21" t="s">
        <v>621</v>
      </c>
    </row>
    <row r="130" spans="1:11" x14ac:dyDescent="0.25">
      <c r="A130" s="20" t="s">
        <v>2979</v>
      </c>
      <c r="B130" s="21" t="s">
        <v>2980</v>
      </c>
      <c r="C130" s="21" t="s">
        <v>621</v>
      </c>
      <c r="D130" s="21" t="s">
        <v>621</v>
      </c>
      <c r="E130" s="21" t="s">
        <v>621</v>
      </c>
      <c r="F130" s="21" t="s">
        <v>621</v>
      </c>
      <c r="G130" s="21" t="s">
        <v>621</v>
      </c>
      <c r="H130" s="21" t="s">
        <v>621</v>
      </c>
      <c r="I130" s="21" t="s">
        <v>621</v>
      </c>
      <c r="J130" s="21" t="s">
        <v>621</v>
      </c>
      <c r="K130" s="21" t="s">
        <v>621</v>
      </c>
    </row>
    <row r="131" spans="1:11" x14ac:dyDescent="0.25">
      <c r="A131" s="20" t="s">
        <v>2981</v>
      </c>
      <c r="B131" s="21" t="s">
        <v>2982</v>
      </c>
      <c r="C131" s="21" t="s">
        <v>621</v>
      </c>
      <c r="D131" s="21" t="s">
        <v>621</v>
      </c>
      <c r="E131" s="21" t="s">
        <v>621</v>
      </c>
      <c r="F131" s="21" t="s">
        <v>621</v>
      </c>
      <c r="G131" s="21" t="s">
        <v>621</v>
      </c>
      <c r="H131" s="21" t="s">
        <v>621</v>
      </c>
      <c r="I131" s="21" t="s">
        <v>621</v>
      </c>
      <c r="J131" s="21" t="s">
        <v>621</v>
      </c>
      <c r="K131" s="21" t="s">
        <v>621</v>
      </c>
    </row>
    <row r="132" spans="1:11" x14ac:dyDescent="0.25">
      <c r="A132" s="20" t="s">
        <v>2983</v>
      </c>
      <c r="B132" s="21" t="s">
        <v>2984</v>
      </c>
      <c r="C132" s="21" t="s">
        <v>621</v>
      </c>
      <c r="D132" s="21" t="s">
        <v>621</v>
      </c>
      <c r="E132" s="21" t="s">
        <v>621</v>
      </c>
      <c r="F132" s="21" t="s">
        <v>621</v>
      </c>
      <c r="G132" s="21" t="s">
        <v>621</v>
      </c>
      <c r="H132" s="21" t="s">
        <v>621</v>
      </c>
      <c r="I132" s="21" t="s">
        <v>621</v>
      </c>
      <c r="J132" s="21" t="s">
        <v>621</v>
      </c>
      <c r="K132" s="21" t="s">
        <v>621</v>
      </c>
    </row>
    <row r="133" spans="1:11" x14ac:dyDescent="0.25">
      <c r="A133" s="20" t="s">
        <v>2524</v>
      </c>
      <c r="B133" s="21" t="s">
        <v>2525</v>
      </c>
      <c r="C133" s="21" t="s">
        <v>2526</v>
      </c>
      <c r="D133" s="21" t="s">
        <v>2527</v>
      </c>
      <c r="E133" s="21" t="s">
        <v>2528</v>
      </c>
      <c r="F133" s="21" t="s">
        <v>2985</v>
      </c>
      <c r="G133" s="21" t="s">
        <v>621</v>
      </c>
      <c r="H133" s="21" t="s">
        <v>621</v>
      </c>
      <c r="I133" s="21" t="s">
        <v>621</v>
      </c>
      <c r="J133" s="21" t="s">
        <v>621</v>
      </c>
      <c r="K133" s="21" t="s">
        <v>621</v>
      </c>
    </row>
    <row r="134" spans="1:11" x14ac:dyDescent="0.25">
      <c r="A134" s="20" t="s">
        <v>2986</v>
      </c>
      <c r="B134" s="21" t="s">
        <v>2987</v>
      </c>
      <c r="C134" s="21" t="s">
        <v>2988</v>
      </c>
      <c r="D134" s="21" t="s">
        <v>2988</v>
      </c>
      <c r="E134" s="21" t="s">
        <v>621</v>
      </c>
      <c r="F134" s="21" t="s">
        <v>621</v>
      </c>
      <c r="G134" s="21" t="s">
        <v>621</v>
      </c>
      <c r="H134" s="21" t="s">
        <v>621</v>
      </c>
      <c r="I134" s="21" t="s">
        <v>621</v>
      </c>
      <c r="J134" s="21" t="s">
        <v>621</v>
      </c>
      <c r="K134" s="21" t="s">
        <v>621</v>
      </c>
    </row>
    <row r="135" spans="1:11" x14ac:dyDescent="0.25">
      <c r="A135" s="20" t="s">
        <v>2529</v>
      </c>
      <c r="B135" s="21" t="s">
        <v>2530</v>
      </c>
      <c r="C135" s="21" t="s">
        <v>2531</v>
      </c>
      <c r="D135" s="21" t="s">
        <v>2989</v>
      </c>
      <c r="E135" s="21" t="s">
        <v>2990</v>
      </c>
      <c r="F135" s="21" t="s">
        <v>2991</v>
      </c>
      <c r="G135" s="21" t="s">
        <v>621</v>
      </c>
      <c r="H135" s="21" t="s">
        <v>621</v>
      </c>
      <c r="I135" s="21" t="s">
        <v>621</v>
      </c>
      <c r="J135" s="21" t="s">
        <v>621</v>
      </c>
      <c r="K135" s="21" t="s">
        <v>621</v>
      </c>
    </row>
    <row r="136" spans="1:11" x14ac:dyDescent="0.25">
      <c r="A136" s="20" t="s">
        <v>2992</v>
      </c>
      <c r="B136" s="21" t="s">
        <v>2993</v>
      </c>
      <c r="C136" s="21" t="s">
        <v>621</v>
      </c>
      <c r="D136" s="21" t="s">
        <v>621</v>
      </c>
      <c r="E136" s="21" t="s">
        <v>621</v>
      </c>
      <c r="F136" s="21" t="s">
        <v>621</v>
      </c>
      <c r="G136" s="21" t="s">
        <v>621</v>
      </c>
      <c r="H136" s="21" t="s">
        <v>621</v>
      </c>
      <c r="I136" s="21" t="s">
        <v>621</v>
      </c>
      <c r="J136" s="21" t="s">
        <v>621</v>
      </c>
      <c r="K136" s="21" t="s">
        <v>621</v>
      </c>
    </row>
    <row r="137" spans="1:11" x14ac:dyDescent="0.25">
      <c r="A137" s="20" t="s">
        <v>2994</v>
      </c>
      <c r="B137" s="21" t="s">
        <v>2995</v>
      </c>
      <c r="C137" s="21" t="s">
        <v>2996</v>
      </c>
      <c r="D137" s="21" t="s">
        <v>621</v>
      </c>
      <c r="E137" s="21" t="s">
        <v>621</v>
      </c>
      <c r="F137" s="21" t="s">
        <v>621</v>
      </c>
      <c r="G137" s="21" t="s">
        <v>621</v>
      </c>
      <c r="H137" s="21" t="s">
        <v>621</v>
      </c>
      <c r="I137" s="21" t="s">
        <v>621</v>
      </c>
      <c r="J137" s="21" t="s">
        <v>621</v>
      </c>
      <c r="K137" s="21" t="s">
        <v>621</v>
      </c>
    </row>
    <row r="138" spans="1:11" x14ac:dyDescent="0.25">
      <c r="A138" s="20" t="s">
        <v>2997</v>
      </c>
      <c r="B138" s="21" t="s">
        <v>2964</v>
      </c>
      <c r="C138" s="21" t="s">
        <v>2963</v>
      </c>
      <c r="D138" s="21" t="s">
        <v>2962</v>
      </c>
      <c r="E138" s="21" t="s">
        <v>621</v>
      </c>
      <c r="F138" s="21" t="s">
        <v>621</v>
      </c>
      <c r="G138" s="21" t="s">
        <v>621</v>
      </c>
      <c r="H138" s="21" t="s">
        <v>621</v>
      </c>
      <c r="I138" s="21" t="s">
        <v>621</v>
      </c>
      <c r="J138" s="21" t="s">
        <v>621</v>
      </c>
      <c r="K138" s="21" t="s">
        <v>621</v>
      </c>
    </row>
    <row r="139" spans="1:11" x14ac:dyDescent="0.25">
      <c r="A139" s="20" t="s">
        <v>2998</v>
      </c>
      <c r="B139" s="21" t="s">
        <v>2999</v>
      </c>
      <c r="C139" s="21" t="s">
        <v>621</v>
      </c>
      <c r="D139" s="21" t="s">
        <v>621</v>
      </c>
      <c r="E139" s="21" t="s">
        <v>621</v>
      </c>
      <c r="F139" s="21" t="s">
        <v>621</v>
      </c>
      <c r="G139" s="21" t="s">
        <v>621</v>
      </c>
      <c r="H139" s="21" t="s">
        <v>621</v>
      </c>
      <c r="I139" s="21" t="s">
        <v>621</v>
      </c>
      <c r="J139" s="21" t="s">
        <v>621</v>
      </c>
      <c r="K139" s="21" t="s">
        <v>621</v>
      </c>
    </row>
    <row r="140" spans="1:11" x14ac:dyDescent="0.25">
      <c r="A140" s="20" t="s">
        <v>3000</v>
      </c>
      <c r="B140" s="21" t="s">
        <v>2964</v>
      </c>
      <c r="C140" s="21" t="s">
        <v>2963</v>
      </c>
      <c r="D140" s="21" t="s">
        <v>2962</v>
      </c>
      <c r="E140" s="21" t="s">
        <v>621</v>
      </c>
      <c r="F140" s="21" t="s">
        <v>621</v>
      </c>
      <c r="G140" s="21" t="s">
        <v>621</v>
      </c>
      <c r="H140" s="21" t="s">
        <v>621</v>
      </c>
      <c r="I140" s="21" t="s">
        <v>621</v>
      </c>
      <c r="J140" s="21" t="s">
        <v>621</v>
      </c>
      <c r="K140" s="21" t="s">
        <v>621</v>
      </c>
    </row>
    <row r="141" spans="1:11" x14ac:dyDescent="0.25">
      <c r="A141" s="20" t="s">
        <v>3001</v>
      </c>
      <c r="B141" s="21" t="s">
        <v>3002</v>
      </c>
      <c r="C141" s="21" t="s">
        <v>621</v>
      </c>
      <c r="D141" s="21" t="s">
        <v>621</v>
      </c>
      <c r="E141" s="21" t="s">
        <v>621</v>
      </c>
      <c r="F141" s="21" t="s">
        <v>621</v>
      </c>
      <c r="G141" s="21" t="s">
        <v>621</v>
      </c>
      <c r="H141" s="21" t="s">
        <v>621</v>
      </c>
      <c r="I141" s="21" t="s">
        <v>621</v>
      </c>
      <c r="J141" s="21" t="s">
        <v>621</v>
      </c>
      <c r="K141" s="21" t="s">
        <v>621</v>
      </c>
    </row>
    <row r="142" spans="1:11" x14ac:dyDescent="0.25">
      <c r="A142" s="20" t="s">
        <v>2532</v>
      </c>
      <c r="B142" s="21" t="s">
        <v>2449</v>
      </c>
      <c r="C142" s="21" t="s">
        <v>2533</v>
      </c>
      <c r="D142" s="21" t="s">
        <v>2451</v>
      </c>
      <c r="E142" s="21" t="s">
        <v>2534</v>
      </c>
      <c r="F142" s="21" t="s">
        <v>3003</v>
      </c>
      <c r="G142" s="21" t="s">
        <v>3004</v>
      </c>
      <c r="H142" s="21" t="s">
        <v>621</v>
      </c>
      <c r="I142" s="21" t="s">
        <v>621</v>
      </c>
      <c r="J142" s="21" t="s">
        <v>621</v>
      </c>
      <c r="K142" s="21" t="s">
        <v>621</v>
      </c>
    </row>
    <row r="143" spans="1:11" x14ac:dyDescent="0.25">
      <c r="A143" s="20" t="s">
        <v>3005</v>
      </c>
      <c r="B143" s="21" t="s">
        <v>3006</v>
      </c>
      <c r="C143" s="21" t="s">
        <v>621</v>
      </c>
      <c r="D143" s="21" t="s">
        <v>621</v>
      </c>
      <c r="E143" s="21" t="s">
        <v>621</v>
      </c>
      <c r="F143" s="21" t="s">
        <v>621</v>
      </c>
      <c r="G143" s="21" t="s">
        <v>621</v>
      </c>
      <c r="H143" s="21" t="s">
        <v>621</v>
      </c>
      <c r="I143" s="21" t="s">
        <v>621</v>
      </c>
      <c r="J143" s="21" t="s">
        <v>621</v>
      </c>
      <c r="K143" s="21" t="s">
        <v>621</v>
      </c>
    </row>
    <row r="144" spans="1:11" x14ac:dyDescent="0.25">
      <c r="A144" s="20" t="s">
        <v>2535</v>
      </c>
      <c r="B144" s="21" t="s">
        <v>2536</v>
      </c>
      <c r="C144" s="21" t="s">
        <v>2537</v>
      </c>
      <c r="D144" s="21" t="s">
        <v>2462</v>
      </c>
      <c r="E144" s="21" t="s">
        <v>3007</v>
      </c>
      <c r="F144" s="21" t="s">
        <v>3008</v>
      </c>
      <c r="G144" s="21" t="s">
        <v>621</v>
      </c>
      <c r="H144" s="21" t="s">
        <v>621</v>
      </c>
      <c r="I144" s="21" t="s">
        <v>621</v>
      </c>
      <c r="J144" s="21" t="s">
        <v>621</v>
      </c>
      <c r="K144" s="21" t="s">
        <v>621</v>
      </c>
    </row>
    <row r="145" spans="1:11" x14ac:dyDescent="0.25">
      <c r="A145" s="20" t="s">
        <v>2538</v>
      </c>
      <c r="B145" s="21" t="s">
        <v>2434</v>
      </c>
      <c r="C145" s="21" t="s">
        <v>2539</v>
      </c>
      <c r="D145" s="21" t="s">
        <v>2755</v>
      </c>
      <c r="E145" s="21" t="s">
        <v>621</v>
      </c>
      <c r="F145" s="21" t="s">
        <v>621</v>
      </c>
      <c r="G145" s="21" t="s">
        <v>621</v>
      </c>
      <c r="H145" s="21" t="s">
        <v>621</v>
      </c>
      <c r="I145" s="21" t="s">
        <v>621</v>
      </c>
      <c r="J145" s="21" t="s">
        <v>621</v>
      </c>
      <c r="K145" s="21" t="s">
        <v>621</v>
      </c>
    </row>
    <row r="146" spans="1:11" x14ac:dyDescent="0.25">
      <c r="A146" s="20" t="s">
        <v>3009</v>
      </c>
      <c r="B146" s="21" t="s">
        <v>3010</v>
      </c>
      <c r="C146" s="21" t="s">
        <v>621</v>
      </c>
      <c r="D146" s="21" t="s">
        <v>621</v>
      </c>
      <c r="E146" s="21" t="s">
        <v>621</v>
      </c>
      <c r="F146" s="21" t="s">
        <v>621</v>
      </c>
      <c r="G146" s="21" t="s">
        <v>621</v>
      </c>
      <c r="H146" s="21" t="s">
        <v>621</v>
      </c>
      <c r="I146" s="21" t="s">
        <v>621</v>
      </c>
      <c r="J146" s="21" t="s">
        <v>621</v>
      </c>
      <c r="K146" s="21" t="s">
        <v>621</v>
      </c>
    </row>
    <row r="147" spans="1:11" x14ac:dyDescent="0.25">
      <c r="A147" s="20" t="s">
        <v>2540</v>
      </c>
      <c r="B147" s="21" t="s">
        <v>2541</v>
      </c>
      <c r="C147" s="21" t="s">
        <v>621</v>
      </c>
      <c r="D147" s="21" t="s">
        <v>621</v>
      </c>
      <c r="E147" s="21" t="s">
        <v>621</v>
      </c>
      <c r="F147" s="21" t="s">
        <v>621</v>
      </c>
      <c r="G147" s="21" t="s">
        <v>621</v>
      </c>
      <c r="H147" s="21" t="s">
        <v>621</v>
      </c>
      <c r="I147" s="21" t="s">
        <v>621</v>
      </c>
      <c r="J147" s="21" t="s">
        <v>621</v>
      </c>
      <c r="K147" s="21" t="s">
        <v>621</v>
      </c>
    </row>
    <row r="148" spans="1:11" x14ac:dyDescent="0.25">
      <c r="A148" s="20" t="s">
        <v>2542</v>
      </c>
      <c r="B148" s="21" t="s">
        <v>2541</v>
      </c>
      <c r="C148" s="21" t="s">
        <v>621</v>
      </c>
      <c r="D148" s="21" t="s">
        <v>621</v>
      </c>
      <c r="E148" s="21" t="s">
        <v>621</v>
      </c>
      <c r="F148" s="21" t="s">
        <v>621</v>
      </c>
      <c r="G148" s="21" t="s">
        <v>621</v>
      </c>
      <c r="H148" s="21" t="s">
        <v>621</v>
      </c>
      <c r="I148" s="21" t="s">
        <v>621</v>
      </c>
      <c r="J148" s="21" t="s">
        <v>621</v>
      </c>
      <c r="K148" s="21" t="s">
        <v>621</v>
      </c>
    </row>
    <row r="149" spans="1:11" x14ac:dyDescent="0.25">
      <c r="A149" s="20" t="s">
        <v>2543</v>
      </c>
      <c r="B149" s="21" t="s">
        <v>2434</v>
      </c>
      <c r="C149" s="21" t="s">
        <v>621</v>
      </c>
      <c r="D149" s="21" t="s">
        <v>621</v>
      </c>
      <c r="E149" s="21" t="s">
        <v>621</v>
      </c>
      <c r="F149" s="21" t="s">
        <v>621</v>
      </c>
      <c r="G149" s="21" t="s">
        <v>621</v>
      </c>
      <c r="H149" s="21" t="s">
        <v>621</v>
      </c>
      <c r="I149" s="21" t="s">
        <v>621</v>
      </c>
      <c r="J149" s="21" t="s">
        <v>621</v>
      </c>
      <c r="K149" s="21" t="s">
        <v>621</v>
      </c>
    </row>
    <row r="150" spans="1:11" x14ac:dyDescent="0.25">
      <c r="A150" s="20" t="s">
        <v>3011</v>
      </c>
      <c r="B150" s="21" t="s">
        <v>3012</v>
      </c>
      <c r="C150" s="21" t="s">
        <v>621</v>
      </c>
      <c r="D150" s="21" t="s">
        <v>621</v>
      </c>
      <c r="E150" s="21" t="s">
        <v>621</v>
      </c>
      <c r="F150" s="21" t="s">
        <v>621</v>
      </c>
      <c r="G150" s="21" t="s">
        <v>621</v>
      </c>
      <c r="H150" s="21" t="s">
        <v>621</v>
      </c>
      <c r="I150" s="21" t="s">
        <v>621</v>
      </c>
      <c r="J150" s="21" t="s">
        <v>621</v>
      </c>
      <c r="K150" s="21" t="s">
        <v>621</v>
      </c>
    </row>
    <row r="151" spans="1:11" x14ac:dyDescent="0.25">
      <c r="A151" s="20" t="s">
        <v>2544</v>
      </c>
      <c r="B151" s="21" t="s">
        <v>2434</v>
      </c>
      <c r="C151" s="21" t="s">
        <v>2539</v>
      </c>
      <c r="D151" s="21" t="s">
        <v>2755</v>
      </c>
      <c r="E151" s="21" t="s">
        <v>621</v>
      </c>
      <c r="F151" s="21" t="s">
        <v>621</v>
      </c>
      <c r="G151" s="21" t="s">
        <v>621</v>
      </c>
      <c r="H151" s="21" t="s">
        <v>621</v>
      </c>
      <c r="I151" s="21" t="s">
        <v>621</v>
      </c>
      <c r="J151" s="21" t="s">
        <v>621</v>
      </c>
      <c r="K151" s="21" t="s">
        <v>621</v>
      </c>
    </row>
    <row r="152" spans="1:11" x14ac:dyDescent="0.25">
      <c r="A152" s="20" t="s">
        <v>3013</v>
      </c>
      <c r="B152" s="21" t="s">
        <v>3014</v>
      </c>
      <c r="C152" s="21" t="s">
        <v>621</v>
      </c>
      <c r="D152" s="21" t="s">
        <v>621</v>
      </c>
      <c r="E152" s="21" t="s">
        <v>621</v>
      </c>
      <c r="F152" s="21" t="s">
        <v>621</v>
      </c>
      <c r="G152" s="21" t="s">
        <v>621</v>
      </c>
      <c r="H152" s="21" t="s">
        <v>621</v>
      </c>
      <c r="I152" s="21" t="s">
        <v>621</v>
      </c>
      <c r="J152" s="21" t="s">
        <v>621</v>
      </c>
      <c r="K152" s="21" t="s">
        <v>621</v>
      </c>
    </row>
    <row r="153" spans="1:11" x14ac:dyDescent="0.25">
      <c r="A153" s="20" t="s">
        <v>3015</v>
      </c>
      <c r="B153" s="21" t="s">
        <v>3016</v>
      </c>
      <c r="C153" s="21" t="s">
        <v>3017</v>
      </c>
      <c r="D153" s="21" t="s">
        <v>3018</v>
      </c>
      <c r="E153" s="21" t="s">
        <v>621</v>
      </c>
      <c r="F153" s="21" t="s">
        <v>621</v>
      </c>
      <c r="G153" s="21" t="s">
        <v>621</v>
      </c>
      <c r="H153" s="21" t="s">
        <v>621</v>
      </c>
      <c r="I153" s="21" t="s">
        <v>621</v>
      </c>
      <c r="J153" s="21" t="s">
        <v>621</v>
      </c>
      <c r="K153" s="21" t="s">
        <v>621</v>
      </c>
    </row>
    <row r="154" spans="1:11" x14ac:dyDescent="0.25">
      <c r="A154" s="20" t="s">
        <v>2545</v>
      </c>
      <c r="B154" s="21" t="s">
        <v>2434</v>
      </c>
      <c r="C154" s="21" t="s">
        <v>621</v>
      </c>
      <c r="D154" s="21" t="s">
        <v>621</v>
      </c>
      <c r="E154" s="21" t="s">
        <v>621</v>
      </c>
      <c r="F154" s="21" t="s">
        <v>621</v>
      </c>
      <c r="G154" s="21" t="s">
        <v>621</v>
      </c>
      <c r="H154" s="21" t="s">
        <v>621</v>
      </c>
      <c r="I154" s="21" t="s">
        <v>621</v>
      </c>
      <c r="J154" s="21" t="s">
        <v>621</v>
      </c>
      <c r="K154" s="21" t="s">
        <v>621</v>
      </c>
    </row>
    <row r="155" spans="1:11" x14ac:dyDescent="0.25">
      <c r="A155" s="20" t="s">
        <v>3019</v>
      </c>
      <c r="B155" s="21" t="s">
        <v>3020</v>
      </c>
      <c r="C155" s="21" t="s">
        <v>3021</v>
      </c>
      <c r="D155" s="21" t="s">
        <v>621</v>
      </c>
      <c r="E155" s="21" t="s">
        <v>621</v>
      </c>
      <c r="F155" s="21" t="s">
        <v>621</v>
      </c>
      <c r="G155" s="21" t="s">
        <v>621</v>
      </c>
      <c r="H155" s="21" t="s">
        <v>621</v>
      </c>
      <c r="I155" s="21" t="s">
        <v>621</v>
      </c>
      <c r="J155" s="21" t="s">
        <v>621</v>
      </c>
      <c r="K155" s="21" t="s">
        <v>621</v>
      </c>
    </row>
    <row r="156" spans="1:11" x14ac:dyDescent="0.25">
      <c r="A156" s="20" t="s">
        <v>3022</v>
      </c>
      <c r="B156" s="21" t="s">
        <v>3023</v>
      </c>
      <c r="C156" s="21" t="s">
        <v>621</v>
      </c>
      <c r="D156" s="21" t="s">
        <v>621</v>
      </c>
      <c r="E156" s="21" t="s">
        <v>621</v>
      </c>
      <c r="F156" s="21" t="s">
        <v>621</v>
      </c>
      <c r="G156" s="21" t="s">
        <v>621</v>
      </c>
      <c r="H156" s="21" t="s">
        <v>621</v>
      </c>
      <c r="I156" s="21" t="s">
        <v>621</v>
      </c>
      <c r="J156" s="21" t="s">
        <v>621</v>
      </c>
      <c r="K156" s="21" t="s">
        <v>621</v>
      </c>
    </row>
    <row r="157" spans="1:11" x14ac:dyDescent="0.25">
      <c r="A157" s="20" t="s">
        <v>3024</v>
      </c>
      <c r="B157" s="21" t="s">
        <v>3023</v>
      </c>
      <c r="C157" s="21" t="s">
        <v>621</v>
      </c>
      <c r="D157" s="21" t="s">
        <v>621</v>
      </c>
      <c r="E157" s="21" t="s">
        <v>621</v>
      </c>
      <c r="F157" s="21" t="s">
        <v>621</v>
      </c>
      <c r="G157" s="21" t="s">
        <v>621</v>
      </c>
      <c r="H157" s="21" t="s">
        <v>621</v>
      </c>
      <c r="I157" s="21" t="s">
        <v>621</v>
      </c>
      <c r="J157" s="21" t="s">
        <v>621</v>
      </c>
      <c r="K157" s="21" t="s">
        <v>621</v>
      </c>
    </row>
    <row r="158" spans="1:11" x14ac:dyDescent="0.25">
      <c r="A158" s="20" t="s">
        <v>2546</v>
      </c>
      <c r="B158" s="21" t="s">
        <v>2434</v>
      </c>
      <c r="C158" s="21" t="s">
        <v>2539</v>
      </c>
      <c r="D158" s="21" t="s">
        <v>2755</v>
      </c>
      <c r="E158" s="21" t="s">
        <v>621</v>
      </c>
      <c r="F158" s="21" t="s">
        <v>621</v>
      </c>
      <c r="G158" s="21" t="s">
        <v>621</v>
      </c>
      <c r="H158" s="21" t="s">
        <v>621</v>
      </c>
      <c r="I158" s="21" t="s">
        <v>621</v>
      </c>
      <c r="J158" s="21" t="s">
        <v>621</v>
      </c>
      <c r="K158" s="21" t="s">
        <v>621</v>
      </c>
    </row>
    <row r="159" spans="1:11" x14ac:dyDescent="0.25">
      <c r="A159" s="20" t="s">
        <v>3025</v>
      </c>
      <c r="B159" s="21" t="s">
        <v>3017</v>
      </c>
      <c r="C159" s="21" t="s">
        <v>621</v>
      </c>
      <c r="D159" s="21" t="s">
        <v>621</v>
      </c>
      <c r="E159" s="21" t="s">
        <v>621</v>
      </c>
      <c r="F159" s="21" t="s">
        <v>621</v>
      </c>
      <c r="G159" s="21" t="s">
        <v>621</v>
      </c>
      <c r="H159" s="21" t="s">
        <v>621</v>
      </c>
      <c r="I159" s="21" t="s">
        <v>621</v>
      </c>
      <c r="J159" s="21" t="s">
        <v>621</v>
      </c>
      <c r="K159" s="21" t="s">
        <v>621</v>
      </c>
    </row>
    <row r="160" spans="1:11" x14ac:dyDescent="0.25">
      <c r="A160" s="20" t="s">
        <v>2547</v>
      </c>
      <c r="B160" s="21" t="s">
        <v>2434</v>
      </c>
      <c r="C160" s="21" t="s">
        <v>621</v>
      </c>
      <c r="D160" s="21" t="s">
        <v>621</v>
      </c>
      <c r="E160" s="21" t="s">
        <v>621</v>
      </c>
      <c r="F160" s="21" t="s">
        <v>621</v>
      </c>
      <c r="G160" s="21" t="s">
        <v>621</v>
      </c>
      <c r="H160" s="21" t="s">
        <v>621</v>
      </c>
      <c r="I160" s="21" t="s">
        <v>621</v>
      </c>
      <c r="J160" s="21" t="s">
        <v>621</v>
      </c>
      <c r="K160" s="21" t="s">
        <v>621</v>
      </c>
    </row>
    <row r="161" spans="1:11" x14ac:dyDescent="0.25">
      <c r="A161" s="20" t="s">
        <v>3026</v>
      </c>
      <c r="B161" s="21" t="s">
        <v>3010</v>
      </c>
      <c r="C161" s="21" t="s">
        <v>621</v>
      </c>
      <c r="D161" s="21" t="s">
        <v>621</v>
      </c>
      <c r="E161" s="21" t="s">
        <v>621</v>
      </c>
      <c r="F161" s="21" t="s">
        <v>621</v>
      </c>
      <c r="G161" s="21" t="s">
        <v>621</v>
      </c>
      <c r="H161" s="21" t="s">
        <v>621</v>
      </c>
      <c r="I161" s="21" t="s">
        <v>621</v>
      </c>
      <c r="J161" s="21" t="s">
        <v>621</v>
      </c>
      <c r="K161" s="21" t="s">
        <v>621</v>
      </c>
    </row>
    <row r="162" spans="1:11" x14ac:dyDescent="0.25">
      <c r="A162" s="20" t="s">
        <v>3027</v>
      </c>
      <c r="B162" s="21" t="s">
        <v>3028</v>
      </c>
      <c r="C162" s="21" t="s">
        <v>621</v>
      </c>
      <c r="D162" s="21" t="s">
        <v>621</v>
      </c>
      <c r="E162" s="21" t="s">
        <v>621</v>
      </c>
      <c r="F162" s="21" t="s">
        <v>621</v>
      </c>
      <c r="G162" s="21" t="s">
        <v>621</v>
      </c>
      <c r="H162" s="21" t="s">
        <v>621</v>
      </c>
      <c r="I162" s="21" t="s">
        <v>621</v>
      </c>
      <c r="J162" s="21" t="s">
        <v>621</v>
      </c>
      <c r="K162" s="21" t="s">
        <v>621</v>
      </c>
    </row>
    <row r="163" spans="1:11" x14ac:dyDescent="0.25">
      <c r="A163" s="20" t="s">
        <v>3029</v>
      </c>
      <c r="B163" s="21" t="s">
        <v>3012</v>
      </c>
      <c r="C163" s="21" t="s">
        <v>3030</v>
      </c>
      <c r="D163" s="21" t="s">
        <v>621</v>
      </c>
      <c r="E163" s="21" t="s">
        <v>621</v>
      </c>
      <c r="F163" s="21" t="s">
        <v>621</v>
      </c>
      <c r="G163" s="21" t="s">
        <v>621</v>
      </c>
      <c r="H163" s="21" t="s">
        <v>621</v>
      </c>
      <c r="I163" s="21" t="s">
        <v>621</v>
      </c>
      <c r="J163" s="21" t="s">
        <v>621</v>
      </c>
      <c r="K163" s="21" t="s">
        <v>621</v>
      </c>
    </row>
    <row r="164" spans="1:11" x14ac:dyDescent="0.25">
      <c r="A164" s="20" t="s">
        <v>2548</v>
      </c>
      <c r="B164" s="21" t="s">
        <v>2434</v>
      </c>
      <c r="C164" s="21" t="s">
        <v>2539</v>
      </c>
      <c r="D164" s="21" t="s">
        <v>2755</v>
      </c>
      <c r="E164" s="21" t="s">
        <v>621</v>
      </c>
      <c r="F164" s="21" t="s">
        <v>621</v>
      </c>
      <c r="G164" s="21" t="s">
        <v>621</v>
      </c>
      <c r="H164" s="21" t="s">
        <v>621</v>
      </c>
      <c r="I164" s="21" t="s">
        <v>621</v>
      </c>
      <c r="J164" s="21" t="s">
        <v>621</v>
      </c>
      <c r="K164" s="21" t="s">
        <v>621</v>
      </c>
    </row>
    <row r="165" spans="1:11" x14ac:dyDescent="0.25">
      <c r="A165" s="20" t="s">
        <v>3031</v>
      </c>
      <c r="B165" s="21" t="s">
        <v>3016</v>
      </c>
      <c r="C165" s="21" t="s">
        <v>3030</v>
      </c>
      <c r="D165" s="21" t="s">
        <v>3017</v>
      </c>
      <c r="E165" s="21" t="s">
        <v>621</v>
      </c>
      <c r="F165" s="21" t="s">
        <v>621</v>
      </c>
      <c r="G165" s="21" t="s">
        <v>621</v>
      </c>
      <c r="H165" s="21" t="s">
        <v>621</v>
      </c>
      <c r="I165" s="21" t="s">
        <v>621</v>
      </c>
      <c r="J165" s="21" t="s">
        <v>621</v>
      </c>
      <c r="K165" s="21" t="s">
        <v>621</v>
      </c>
    </row>
    <row r="166" spans="1:11" x14ac:dyDescent="0.25">
      <c r="A166" s="20" t="s">
        <v>3032</v>
      </c>
      <c r="B166" s="21" t="s">
        <v>3020</v>
      </c>
      <c r="C166" s="21" t="s">
        <v>621</v>
      </c>
      <c r="D166" s="21" t="s">
        <v>621</v>
      </c>
      <c r="E166" s="21" t="s">
        <v>621</v>
      </c>
      <c r="F166" s="21" t="s">
        <v>621</v>
      </c>
      <c r="G166" s="21" t="s">
        <v>621</v>
      </c>
      <c r="H166" s="21" t="s">
        <v>621</v>
      </c>
      <c r="I166" s="21" t="s">
        <v>621</v>
      </c>
      <c r="J166" s="21" t="s">
        <v>621</v>
      </c>
      <c r="K166" s="21" t="s">
        <v>621</v>
      </c>
    </row>
    <row r="167" spans="1:11" x14ac:dyDescent="0.25">
      <c r="A167" s="20" t="s">
        <v>3033</v>
      </c>
      <c r="B167" s="21" t="s">
        <v>3034</v>
      </c>
      <c r="C167" s="21" t="s">
        <v>621</v>
      </c>
      <c r="D167" s="21" t="s">
        <v>621</v>
      </c>
      <c r="E167" s="21" t="s">
        <v>621</v>
      </c>
      <c r="F167" s="21" t="s">
        <v>621</v>
      </c>
      <c r="G167" s="21" t="s">
        <v>621</v>
      </c>
      <c r="H167" s="21" t="s">
        <v>621</v>
      </c>
      <c r="I167" s="21" t="s">
        <v>621</v>
      </c>
      <c r="J167" s="21" t="s">
        <v>621</v>
      </c>
      <c r="K167" s="21" t="s">
        <v>621</v>
      </c>
    </row>
    <row r="168" spans="1:11" x14ac:dyDescent="0.25">
      <c r="A168" s="20" t="s">
        <v>3035</v>
      </c>
      <c r="B168" s="21" t="s">
        <v>3036</v>
      </c>
      <c r="C168" s="21" t="s">
        <v>621</v>
      </c>
      <c r="D168" s="21" t="s">
        <v>621</v>
      </c>
      <c r="E168" s="21" t="s">
        <v>621</v>
      </c>
      <c r="F168" s="21" t="s">
        <v>621</v>
      </c>
      <c r="G168" s="21" t="s">
        <v>621</v>
      </c>
      <c r="H168" s="21" t="s">
        <v>621</v>
      </c>
      <c r="I168" s="21" t="s">
        <v>621</v>
      </c>
      <c r="J168" s="21" t="s">
        <v>621</v>
      </c>
      <c r="K168" s="21" t="s">
        <v>621</v>
      </c>
    </row>
    <row r="169" spans="1:11" x14ac:dyDescent="0.25">
      <c r="A169" s="20" t="s">
        <v>3037</v>
      </c>
      <c r="B169" s="21" t="s">
        <v>3038</v>
      </c>
      <c r="C169" s="21" t="s">
        <v>621</v>
      </c>
      <c r="D169" s="21" t="s">
        <v>621</v>
      </c>
      <c r="E169" s="21" t="s">
        <v>621</v>
      </c>
      <c r="F169" s="21" t="s">
        <v>621</v>
      </c>
      <c r="G169" s="21" t="s">
        <v>621</v>
      </c>
      <c r="H169" s="21" t="s">
        <v>621</v>
      </c>
      <c r="I169" s="21" t="s">
        <v>621</v>
      </c>
      <c r="J169" s="21" t="s">
        <v>621</v>
      </c>
      <c r="K169" s="21" t="s">
        <v>621</v>
      </c>
    </row>
    <row r="170" spans="1:11" x14ac:dyDescent="0.25">
      <c r="A170" s="20" t="s">
        <v>3039</v>
      </c>
      <c r="B170" s="21" t="s">
        <v>3040</v>
      </c>
      <c r="C170" s="21" t="s">
        <v>621</v>
      </c>
      <c r="D170" s="21" t="s">
        <v>621</v>
      </c>
      <c r="E170" s="21" t="s">
        <v>621</v>
      </c>
      <c r="F170" s="21" t="s">
        <v>621</v>
      </c>
      <c r="G170" s="21" t="s">
        <v>621</v>
      </c>
      <c r="H170" s="21" t="s">
        <v>621</v>
      </c>
      <c r="I170" s="21" t="s">
        <v>621</v>
      </c>
      <c r="J170" s="21" t="s">
        <v>621</v>
      </c>
      <c r="K170" s="21" t="s">
        <v>621</v>
      </c>
    </row>
    <row r="171" spans="1:11" x14ac:dyDescent="0.25">
      <c r="A171" s="20" t="s">
        <v>2549</v>
      </c>
      <c r="B171" s="21" t="s">
        <v>2550</v>
      </c>
      <c r="C171" s="21" t="s">
        <v>2551</v>
      </c>
      <c r="D171" s="21" t="s">
        <v>621</v>
      </c>
      <c r="E171" s="21" t="s">
        <v>621</v>
      </c>
      <c r="F171" s="21" t="s">
        <v>621</v>
      </c>
      <c r="G171" s="21" t="s">
        <v>621</v>
      </c>
      <c r="H171" s="21" t="s">
        <v>621</v>
      </c>
      <c r="I171" s="21" t="s">
        <v>621</v>
      </c>
      <c r="J171" s="21" t="s">
        <v>621</v>
      </c>
      <c r="K171" s="21" t="s">
        <v>621</v>
      </c>
    </row>
    <row r="172" spans="1:11" x14ac:dyDescent="0.25">
      <c r="A172" s="20" t="s">
        <v>3041</v>
      </c>
      <c r="B172" s="21" t="s">
        <v>3042</v>
      </c>
      <c r="C172" s="21" t="s">
        <v>621</v>
      </c>
      <c r="D172" s="21" t="s">
        <v>621</v>
      </c>
      <c r="E172" s="21" t="s">
        <v>621</v>
      </c>
      <c r="F172" s="21" t="s">
        <v>621</v>
      </c>
      <c r="G172" s="21" t="s">
        <v>621</v>
      </c>
      <c r="H172" s="21" t="s">
        <v>621</v>
      </c>
      <c r="I172" s="21" t="s">
        <v>621</v>
      </c>
      <c r="J172" s="21" t="s">
        <v>621</v>
      </c>
      <c r="K172" s="21" t="s">
        <v>621</v>
      </c>
    </row>
    <row r="173" spans="1:11" x14ac:dyDescent="0.25">
      <c r="A173" s="20" t="s">
        <v>3043</v>
      </c>
      <c r="B173" s="21" t="s">
        <v>3044</v>
      </c>
      <c r="C173" s="21" t="s">
        <v>3045</v>
      </c>
      <c r="D173" s="21" t="s">
        <v>621</v>
      </c>
      <c r="E173" s="21" t="s">
        <v>621</v>
      </c>
      <c r="F173" s="21" t="s">
        <v>621</v>
      </c>
      <c r="G173" s="21" t="s">
        <v>621</v>
      </c>
      <c r="H173" s="21" t="s">
        <v>621</v>
      </c>
      <c r="I173" s="21" t="s">
        <v>621</v>
      </c>
      <c r="J173" s="21" t="s">
        <v>621</v>
      </c>
      <c r="K173" s="21" t="s">
        <v>621</v>
      </c>
    </row>
    <row r="174" spans="1:11" x14ac:dyDescent="0.25">
      <c r="A174" s="20" t="s">
        <v>3046</v>
      </c>
      <c r="B174" s="21" t="s">
        <v>3047</v>
      </c>
      <c r="C174" s="21" t="s">
        <v>621</v>
      </c>
      <c r="D174" s="21" t="s">
        <v>621</v>
      </c>
      <c r="E174" s="21" t="s">
        <v>621</v>
      </c>
      <c r="F174" s="21" t="s">
        <v>621</v>
      </c>
      <c r="G174" s="21" t="s">
        <v>621</v>
      </c>
      <c r="H174" s="21" t="s">
        <v>621</v>
      </c>
      <c r="I174" s="21" t="s">
        <v>621</v>
      </c>
      <c r="J174" s="21" t="s">
        <v>621</v>
      </c>
      <c r="K174" s="21" t="s">
        <v>621</v>
      </c>
    </row>
    <row r="175" spans="1:11" x14ac:dyDescent="0.25">
      <c r="A175" s="20" t="s">
        <v>3048</v>
      </c>
      <c r="B175" s="21" t="s">
        <v>3049</v>
      </c>
      <c r="C175" s="21" t="s">
        <v>621</v>
      </c>
      <c r="D175" s="21" t="s">
        <v>621</v>
      </c>
      <c r="E175" s="21" t="s">
        <v>621</v>
      </c>
      <c r="F175" s="21" t="s">
        <v>621</v>
      </c>
      <c r="G175" s="21" t="s">
        <v>621</v>
      </c>
      <c r="H175" s="21" t="s">
        <v>621</v>
      </c>
      <c r="I175" s="21" t="s">
        <v>621</v>
      </c>
      <c r="J175" s="21" t="s">
        <v>621</v>
      </c>
      <c r="K175" s="21" t="s">
        <v>621</v>
      </c>
    </row>
    <row r="176" spans="1:11" x14ac:dyDescent="0.25">
      <c r="A176" s="20" t="s">
        <v>3050</v>
      </c>
      <c r="B176" s="21" t="s">
        <v>3051</v>
      </c>
      <c r="C176" s="21" t="s">
        <v>3052</v>
      </c>
      <c r="D176" s="21" t="s">
        <v>621</v>
      </c>
      <c r="E176" s="21" t="s">
        <v>621</v>
      </c>
      <c r="F176" s="21" t="s">
        <v>621</v>
      </c>
      <c r="G176" s="21" t="s">
        <v>621</v>
      </c>
      <c r="H176" s="21" t="s">
        <v>621</v>
      </c>
      <c r="I176" s="21" t="s">
        <v>621</v>
      </c>
      <c r="J176" s="21" t="s">
        <v>621</v>
      </c>
      <c r="K176" s="21" t="s">
        <v>621</v>
      </c>
    </row>
    <row r="177" spans="1:11" x14ac:dyDescent="0.25">
      <c r="A177" s="20" t="s">
        <v>3053</v>
      </c>
      <c r="B177" s="21" t="s">
        <v>3054</v>
      </c>
      <c r="C177" s="21" t="s">
        <v>3055</v>
      </c>
      <c r="D177" s="21" t="s">
        <v>621</v>
      </c>
      <c r="E177" s="21" t="s">
        <v>621</v>
      </c>
      <c r="F177" s="21" t="s">
        <v>621</v>
      </c>
      <c r="G177" s="21" t="s">
        <v>621</v>
      </c>
      <c r="H177" s="21" t="s">
        <v>621</v>
      </c>
      <c r="I177" s="21" t="s">
        <v>621</v>
      </c>
      <c r="J177" s="21" t="s">
        <v>621</v>
      </c>
      <c r="K177" s="21" t="s">
        <v>621</v>
      </c>
    </row>
    <row r="178" spans="1:11" x14ac:dyDescent="0.25">
      <c r="A178" s="20" t="s">
        <v>3056</v>
      </c>
      <c r="B178" s="21" t="s">
        <v>3057</v>
      </c>
      <c r="C178" s="21" t="s">
        <v>3057</v>
      </c>
      <c r="D178" s="21" t="s">
        <v>621</v>
      </c>
      <c r="E178" s="21" t="s">
        <v>621</v>
      </c>
      <c r="F178" s="21" t="s">
        <v>621</v>
      </c>
      <c r="G178" s="21" t="s">
        <v>621</v>
      </c>
      <c r="H178" s="21" t="s">
        <v>621</v>
      </c>
      <c r="I178" s="21" t="s">
        <v>621</v>
      </c>
      <c r="J178" s="21" t="s">
        <v>621</v>
      </c>
      <c r="K178" s="21" t="s">
        <v>621</v>
      </c>
    </row>
    <row r="179" spans="1:11" x14ac:dyDescent="0.25">
      <c r="A179" s="20" t="s">
        <v>3058</v>
      </c>
      <c r="B179" s="21" t="s">
        <v>3059</v>
      </c>
      <c r="C179" s="21" t="s">
        <v>621</v>
      </c>
      <c r="D179" s="21" t="s">
        <v>621</v>
      </c>
      <c r="E179" s="21" t="s">
        <v>621</v>
      </c>
      <c r="F179" s="21" t="s">
        <v>621</v>
      </c>
      <c r="G179" s="21" t="s">
        <v>621</v>
      </c>
      <c r="H179" s="21" t="s">
        <v>621</v>
      </c>
      <c r="I179" s="21" t="s">
        <v>621</v>
      </c>
      <c r="J179" s="21" t="s">
        <v>621</v>
      </c>
      <c r="K179" s="21" t="s">
        <v>621</v>
      </c>
    </row>
    <row r="180" spans="1:11" x14ac:dyDescent="0.25">
      <c r="A180" s="20" t="s">
        <v>3060</v>
      </c>
      <c r="B180" s="21" t="s">
        <v>3059</v>
      </c>
      <c r="C180" s="21" t="s">
        <v>621</v>
      </c>
      <c r="D180" s="21" t="s">
        <v>621</v>
      </c>
      <c r="E180" s="21" t="s">
        <v>621</v>
      </c>
      <c r="F180" s="21" t="s">
        <v>621</v>
      </c>
      <c r="G180" s="21" t="s">
        <v>621</v>
      </c>
      <c r="H180" s="21" t="s">
        <v>621</v>
      </c>
      <c r="I180" s="21" t="s">
        <v>621</v>
      </c>
      <c r="J180" s="21" t="s">
        <v>621</v>
      </c>
      <c r="K180" s="21" t="s">
        <v>621</v>
      </c>
    </row>
    <row r="181" spans="1:11" x14ac:dyDescent="0.25">
      <c r="A181" s="20" t="s">
        <v>2552</v>
      </c>
      <c r="B181" s="21" t="s">
        <v>2553</v>
      </c>
      <c r="C181" s="21" t="s">
        <v>3061</v>
      </c>
      <c r="D181" s="21" t="s">
        <v>3062</v>
      </c>
      <c r="E181" s="21" t="s">
        <v>621</v>
      </c>
      <c r="F181" s="21" t="s">
        <v>621</v>
      </c>
      <c r="G181" s="21" t="s">
        <v>621</v>
      </c>
      <c r="H181" s="21" t="s">
        <v>621</v>
      </c>
      <c r="I181" s="21" t="s">
        <v>621</v>
      </c>
      <c r="J181" s="21" t="s">
        <v>621</v>
      </c>
      <c r="K181" s="21" t="s">
        <v>621</v>
      </c>
    </row>
    <row r="182" spans="1:11" x14ac:dyDescent="0.25">
      <c r="A182" s="20" t="s">
        <v>3063</v>
      </c>
      <c r="B182" s="21" t="s">
        <v>3064</v>
      </c>
      <c r="C182" s="21" t="s">
        <v>621</v>
      </c>
      <c r="D182" s="21" t="s">
        <v>621</v>
      </c>
      <c r="E182" s="21" t="s">
        <v>621</v>
      </c>
      <c r="F182" s="21" t="s">
        <v>621</v>
      </c>
      <c r="G182" s="21" t="s">
        <v>621</v>
      </c>
      <c r="H182" s="21" t="s">
        <v>621</v>
      </c>
      <c r="I182" s="21" t="s">
        <v>621</v>
      </c>
      <c r="J182" s="21" t="s">
        <v>621</v>
      </c>
      <c r="K182" s="21" t="s">
        <v>621</v>
      </c>
    </row>
    <row r="183" spans="1:11" x14ac:dyDescent="0.25">
      <c r="A183" s="20" t="s">
        <v>2554</v>
      </c>
      <c r="B183" s="21" t="s">
        <v>2471</v>
      </c>
      <c r="C183" s="21" t="s">
        <v>3065</v>
      </c>
      <c r="D183" s="21" t="s">
        <v>621</v>
      </c>
      <c r="E183" s="21" t="s">
        <v>621</v>
      </c>
      <c r="F183" s="21" t="s">
        <v>621</v>
      </c>
      <c r="G183" s="21" t="s">
        <v>621</v>
      </c>
      <c r="H183" s="21" t="s">
        <v>621</v>
      </c>
      <c r="I183" s="21" t="s">
        <v>621</v>
      </c>
      <c r="J183" s="21" t="s">
        <v>621</v>
      </c>
      <c r="K183" s="21" t="s">
        <v>621</v>
      </c>
    </row>
    <row r="184" spans="1:11" x14ac:dyDescent="0.25">
      <c r="A184" s="20" t="s">
        <v>3066</v>
      </c>
      <c r="B184" s="21" t="s">
        <v>3067</v>
      </c>
      <c r="C184" s="21" t="s">
        <v>621</v>
      </c>
      <c r="D184" s="21" t="s">
        <v>621</v>
      </c>
      <c r="E184" s="21" t="s">
        <v>621</v>
      </c>
      <c r="F184" s="21" t="s">
        <v>621</v>
      </c>
      <c r="G184" s="21" t="s">
        <v>621</v>
      </c>
      <c r="H184" s="21" t="s">
        <v>621</v>
      </c>
      <c r="I184" s="21" t="s">
        <v>621</v>
      </c>
      <c r="J184" s="21" t="s">
        <v>621</v>
      </c>
      <c r="K184" s="21" t="s">
        <v>621</v>
      </c>
    </row>
    <row r="185" spans="1:11" x14ac:dyDescent="0.25">
      <c r="A185" s="20" t="s">
        <v>3068</v>
      </c>
      <c r="B185" s="21" t="s">
        <v>3069</v>
      </c>
      <c r="C185" s="21" t="s">
        <v>621</v>
      </c>
      <c r="D185" s="21" t="s">
        <v>621</v>
      </c>
      <c r="E185" s="21" t="s">
        <v>621</v>
      </c>
      <c r="F185" s="21" t="s">
        <v>621</v>
      </c>
      <c r="G185" s="21" t="s">
        <v>621</v>
      </c>
      <c r="H185" s="21" t="s">
        <v>621</v>
      </c>
      <c r="I185" s="21" t="s">
        <v>621</v>
      </c>
      <c r="J185" s="21" t="s">
        <v>621</v>
      </c>
      <c r="K185" s="21" t="s">
        <v>621</v>
      </c>
    </row>
    <row r="186" spans="1:11" x14ac:dyDescent="0.25">
      <c r="A186" s="20" t="s">
        <v>3070</v>
      </c>
      <c r="B186" s="21" t="s">
        <v>3071</v>
      </c>
      <c r="C186" s="21" t="s">
        <v>621</v>
      </c>
      <c r="D186" s="21" t="s">
        <v>621</v>
      </c>
      <c r="E186" s="21" t="s">
        <v>621</v>
      </c>
      <c r="F186" s="21" t="s">
        <v>621</v>
      </c>
      <c r="G186" s="21" t="s">
        <v>621</v>
      </c>
      <c r="H186" s="21" t="s">
        <v>621</v>
      </c>
      <c r="I186" s="21" t="s">
        <v>621</v>
      </c>
      <c r="J186" s="21" t="s">
        <v>621</v>
      </c>
      <c r="K186" s="21" t="s">
        <v>621</v>
      </c>
    </row>
    <row r="187" spans="1:11" x14ac:dyDescent="0.25">
      <c r="A187" s="20" t="s">
        <v>3072</v>
      </c>
      <c r="B187" s="21" t="s">
        <v>3073</v>
      </c>
      <c r="C187" s="21" t="s">
        <v>621</v>
      </c>
      <c r="D187" s="21" t="s">
        <v>621</v>
      </c>
      <c r="E187" s="21" t="s">
        <v>621</v>
      </c>
      <c r="F187" s="21" t="s">
        <v>621</v>
      </c>
      <c r="G187" s="21" t="s">
        <v>621</v>
      </c>
      <c r="H187" s="21" t="s">
        <v>621</v>
      </c>
      <c r="I187" s="21" t="s">
        <v>621</v>
      </c>
      <c r="J187" s="21" t="s">
        <v>621</v>
      </c>
      <c r="K187" s="21" t="s">
        <v>621</v>
      </c>
    </row>
    <row r="188" spans="1:11" x14ac:dyDescent="0.25">
      <c r="A188" s="20" t="s">
        <v>3074</v>
      </c>
      <c r="B188" s="21" t="s">
        <v>3075</v>
      </c>
      <c r="C188" s="21" t="s">
        <v>621</v>
      </c>
      <c r="D188" s="21" t="s">
        <v>621</v>
      </c>
      <c r="E188" s="21" t="s">
        <v>621</v>
      </c>
      <c r="F188" s="21" t="s">
        <v>621</v>
      </c>
      <c r="G188" s="21" t="s">
        <v>621</v>
      </c>
      <c r="H188" s="21" t="s">
        <v>621</v>
      </c>
      <c r="I188" s="21" t="s">
        <v>621</v>
      </c>
      <c r="J188" s="21" t="s">
        <v>621</v>
      </c>
      <c r="K188" s="21" t="s">
        <v>621</v>
      </c>
    </row>
    <row r="189" spans="1:11" x14ac:dyDescent="0.25">
      <c r="A189" s="20" t="s">
        <v>3076</v>
      </c>
      <c r="B189" s="21" t="s">
        <v>3069</v>
      </c>
      <c r="C189" s="21" t="s">
        <v>621</v>
      </c>
      <c r="D189" s="21" t="s">
        <v>621</v>
      </c>
      <c r="E189" s="21" t="s">
        <v>621</v>
      </c>
      <c r="F189" s="21" t="s">
        <v>621</v>
      </c>
      <c r="G189" s="21" t="s">
        <v>621</v>
      </c>
      <c r="H189" s="21" t="s">
        <v>621</v>
      </c>
      <c r="I189" s="21" t="s">
        <v>621</v>
      </c>
      <c r="J189" s="21" t="s">
        <v>621</v>
      </c>
      <c r="K189" s="21" t="s">
        <v>621</v>
      </c>
    </row>
    <row r="190" spans="1:11" x14ac:dyDescent="0.25">
      <c r="A190" s="20" t="s">
        <v>3077</v>
      </c>
      <c r="B190" s="21" t="s">
        <v>3078</v>
      </c>
      <c r="C190" s="21" t="s">
        <v>621</v>
      </c>
      <c r="D190" s="21" t="s">
        <v>621</v>
      </c>
      <c r="E190" s="21" t="s">
        <v>621</v>
      </c>
      <c r="F190" s="21" t="s">
        <v>621</v>
      </c>
      <c r="G190" s="21" t="s">
        <v>621</v>
      </c>
      <c r="H190" s="21" t="s">
        <v>621</v>
      </c>
      <c r="I190" s="21" t="s">
        <v>621</v>
      </c>
      <c r="J190" s="21" t="s">
        <v>621</v>
      </c>
      <c r="K190" s="21" t="s">
        <v>621</v>
      </c>
    </row>
    <row r="191" spans="1:11" x14ac:dyDescent="0.25">
      <c r="A191" s="20" t="s">
        <v>3079</v>
      </c>
      <c r="B191" s="21" t="s">
        <v>3080</v>
      </c>
      <c r="C191" s="21" t="s">
        <v>621</v>
      </c>
      <c r="D191" s="21" t="s">
        <v>621</v>
      </c>
      <c r="E191" s="21" t="s">
        <v>621</v>
      </c>
      <c r="F191" s="21" t="s">
        <v>621</v>
      </c>
      <c r="G191" s="21" t="s">
        <v>621</v>
      </c>
      <c r="H191" s="21" t="s">
        <v>621</v>
      </c>
      <c r="I191" s="21" t="s">
        <v>621</v>
      </c>
      <c r="J191" s="21" t="s">
        <v>621</v>
      </c>
      <c r="K191" s="21" t="s">
        <v>621</v>
      </c>
    </row>
    <row r="192" spans="1:11" x14ac:dyDescent="0.25">
      <c r="A192" s="20" t="s">
        <v>3081</v>
      </c>
      <c r="B192" s="21" t="s">
        <v>3082</v>
      </c>
      <c r="C192" s="21" t="s">
        <v>621</v>
      </c>
      <c r="D192" s="21" t="s">
        <v>621</v>
      </c>
      <c r="E192" s="21" t="s">
        <v>621</v>
      </c>
      <c r="F192" s="21" t="s">
        <v>621</v>
      </c>
      <c r="G192" s="21" t="s">
        <v>621</v>
      </c>
      <c r="H192" s="21" t="s">
        <v>621</v>
      </c>
      <c r="I192" s="21" t="s">
        <v>621</v>
      </c>
      <c r="J192" s="21" t="s">
        <v>621</v>
      </c>
      <c r="K192" s="21" t="s">
        <v>621</v>
      </c>
    </row>
    <row r="193" spans="1:11" x14ac:dyDescent="0.25">
      <c r="A193" s="20" t="s">
        <v>3083</v>
      </c>
      <c r="B193" s="21" t="s">
        <v>3084</v>
      </c>
      <c r="C193" s="21" t="s">
        <v>621</v>
      </c>
      <c r="D193" s="21" t="s">
        <v>621</v>
      </c>
      <c r="E193" s="21" t="s">
        <v>621</v>
      </c>
      <c r="F193" s="21" t="s">
        <v>621</v>
      </c>
      <c r="G193" s="21" t="s">
        <v>621</v>
      </c>
      <c r="H193" s="21" t="s">
        <v>621</v>
      </c>
      <c r="I193" s="21" t="s">
        <v>621</v>
      </c>
      <c r="J193" s="21" t="s">
        <v>621</v>
      </c>
      <c r="K193" s="21" t="s">
        <v>621</v>
      </c>
    </row>
    <row r="194" spans="1:11" x14ac:dyDescent="0.25">
      <c r="A194" s="20" t="s">
        <v>3085</v>
      </c>
      <c r="B194" s="21" t="s">
        <v>3086</v>
      </c>
      <c r="C194" s="21" t="s">
        <v>621</v>
      </c>
      <c r="D194" s="21" t="s">
        <v>621</v>
      </c>
      <c r="E194" s="21" t="s">
        <v>621</v>
      </c>
      <c r="F194" s="21" t="s">
        <v>621</v>
      </c>
      <c r="G194" s="21" t="s">
        <v>621</v>
      </c>
      <c r="H194" s="21" t="s">
        <v>621</v>
      </c>
      <c r="I194" s="21" t="s">
        <v>621</v>
      </c>
      <c r="J194" s="21" t="s">
        <v>621</v>
      </c>
      <c r="K194" s="21" t="s">
        <v>621</v>
      </c>
    </row>
    <row r="195" spans="1:11" x14ac:dyDescent="0.25">
      <c r="A195" s="20" t="s">
        <v>3087</v>
      </c>
      <c r="B195" s="21" t="s">
        <v>3088</v>
      </c>
      <c r="C195" s="21" t="s">
        <v>3089</v>
      </c>
      <c r="D195" s="21" t="s">
        <v>621</v>
      </c>
      <c r="E195" s="21" t="s">
        <v>621</v>
      </c>
      <c r="F195" s="21" t="s">
        <v>621</v>
      </c>
      <c r="G195" s="21" t="s">
        <v>621</v>
      </c>
      <c r="H195" s="21" t="s">
        <v>621</v>
      </c>
      <c r="I195" s="21" t="s">
        <v>621</v>
      </c>
      <c r="J195" s="21" t="s">
        <v>621</v>
      </c>
      <c r="K195" s="21" t="s">
        <v>621</v>
      </c>
    </row>
    <row r="196" spans="1:11" x14ac:dyDescent="0.25">
      <c r="A196" s="20" t="s">
        <v>3090</v>
      </c>
      <c r="B196" s="21" t="s">
        <v>3091</v>
      </c>
      <c r="C196" s="21" t="s">
        <v>621</v>
      </c>
      <c r="D196" s="21" t="s">
        <v>621</v>
      </c>
      <c r="E196" s="21" t="s">
        <v>621</v>
      </c>
      <c r="F196" s="21" t="s">
        <v>621</v>
      </c>
      <c r="G196" s="21" t="s">
        <v>621</v>
      </c>
      <c r="H196" s="21" t="s">
        <v>621</v>
      </c>
      <c r="I196" s="21" t="s">
        <v>621</v>
      </c>
      <c r="J196" s="21" t="s">
        <v>621</v>
      </c>
      <c r="K196" s="21" t="s">
        <v>621</v>
      </c>
    </row>
    <row r="197" spans="1:11" x14ac:dyDescent="0.25">
      <c r="A197" s="20" t="s">
        <v>3092</v>
      </c>
      <c r="B197" s="21" t="s">
        <v>3093</v>
      </c>
      <c r="C197" s="21" t="s">
        <v>621</v>
      </c>
      <c r="D197" s="21" t="s">
        <v>621</v>
      </c>
      <c r="E197" s="21" t="s">
        <v>621</v>
      </c>
      <c r="F197" s="21" t="s">
        <v>621</v>
      </c>
      <c r="G197" s="21" t="s">
        <v>621</v>
      </c>
      <c r="H197" s="21" t="s">
        <v>621</v>
      </c>
      <c r="I197" s="21" t="s">
        <v>621</v>
      </c>
      <c r="J197" s="21" t="s">
        <v>621</v>
      </c>
      <c r="K197" s="21" t="s">
        <v>621</v>
      </c>
    </row>
    <row r="198" spans="1:11" x14ac:dyDescent="0.25">
      <c r="A198" s="20" t="s">
        <v>3094</v>
      </c>
      <c r="B198" s="21" t="s">
        <v>3095</v>
      </c>
      <c r="C198" s="21" t="s">
        <v>621</v>
      </c>
      <c r="D198" s="21" t="s">
        <v>621</v>
      </c>
      <c r="E198" s="21" t="s">
        <v>621</v>
      </c>
      <c r="F198" s="21" t="s">
        <v>621</v>
      </c>
      <c r="G198" s="21" t="s">
        <v>621</v>
      </c>
      <c r="H198" s="21" t="s">
        <v>621</v>
      </c>
      <c r="I198" s="21" t="s">
        <v>621</v>
      </c>
      <c r="J198" s="21" t="s">
        <v>621</v>
      </c>
      <c r="K198" s="21" t="s">
        <v>621</v>
      </c>
    </row>
    <row r="199" spans="1:11" x14ac:dyDescent="0.25">
      <c r="A199" s="20" t="s">
        <v>3096</v>
      </c>
      <c r="B199" s="21" t="s">
        <v>3097</v>
      </c>
      <c r="C199" s="21" t="s">
        <v>621</v>
      </c>
      <c r="D199" s="21" t="s">
        <v>621</v>
      </c>
      <c r="E199" s="21" t="s">
        <v>621</v>
      </c>
      <c r="F199" s="21" t="s">
        <v>621</v>
      </c>
      <c r="G199" s="21" t="s">
        <v>621</v>
      </c>
      <c r="H199" s="21" t="s">
        <v>621</v>
      </c>
      <c r="I199" s="21" t="s">
        <v>621</v>
      </c>
      <c r="J199" s="21" t="s">
        <v>621</v>
      </c>
      <c r="K199" s="21" t="s">
        <v>621</v>
      </c>
    </row>
    <row r="200" spans="1:11" x14ac:dyDescent="0.25">
      <c r="A200" s="20" t="s">
        <v>3098</v>
      </c>
      <c r="B200" s="21" t="s">
        <v>3099</v>
      </c>
      <c r="C200" s="21" t="s">
        <v>621</v>
      </c>
      <c r="D200" s="21" t="s">
        <v>621</v>
      </c>
      <c r="E200" s="21" t="s">
        <v>621</v>
      </c>
      <c r="F200" s="21" t="s">
        <v>621</v>
      </c>
      <c r="G200" s="21" t="s">
        <v>621</v>
      </c>
      <c r="H200" s="21" t="s">
        <v>621</v>
      </c>
      <c r="I200" s="21" t="s">
        <v>621</v>
      </c>
      <c r="J200" s="21" t="s">
        <v>621</v>
      </c>
      <c r="K200" s="21" t="s">
        <v>621</v>
      </c>
    </row>
    <row r="201" spans="1:11" x14ac:dyDescent="0.25">
      <c r="A201" s="20" t="s">
        <v>3100</v>
      </c>
      <c r="B201" s="21" t="s">
        <v>3095</v>
      </c>
      <c r="C201" s="21" t="s">
        <v>3091</v>
      </c>
      <c r="D201" s="21" t="s">
        <v>621</v>
      </c>
      <c r="E201" s="21" t="s">
        <v>621</v>
      </c>
      <c r="F201" s="21" t="s">
        <v>621</v>
      </c>
      <c r="G201" s="21" t="s">
        <v>621</v>
      </c>
      <c r="H201" s="21" t="s">
        <v>621</v>
      </c>
      <c r="I201" s="21" t="s">
        <v>621</v>
      </c>
      <c r="J201" s="21" t="s">
        <v>621</v>
      </c>
      <c r="K201" s="21" t="s">
        <v>621</v>
      </c>
    </row>
    <row r="202" spans="1:11" x14ac:dyDescent="0.25">
      <c r="A202" s="20" t="s">
        <v>3101</v>
      </c>
      <c r="B202" s="21" t="s">
        <v>3102</v>
      </c>
      <c r="C202" s="21" t="s">
        <v>621</v>
      </c>
      <c r="D202" s="21" t="s">
        <v>621</v>
      </c>
      <c r="E202" s="21" t="s">
        <v>621</v>
      </c>
      <c r="F202" s="21" t="s">
        <v>621</v>
      </c>
      <c r="G202" s="21" t="s">
        <v>621</v>
      </c>
      <c r="H202" s="21" t="s">
        <v>621</v>
      </c>
      <c r="I202" s="21" t="s">
        <v>621</v>
      </c>
      <c r="J202" s="21" t="s">
        <v>621</v>
      </c>
      <c r="K202" s="21" t="s">
        <v>621</v>
      </c>
    </row>
    <row r="203" spans="1:11" x14ac:dyDescent="0.25">
      <c r="A203" s="20" t="s">
        <v>3103</v>
      </c>
      <c r="B203" s="21" t="s">
        <v>3104</v>
      </c>
      <c r="C203" s="21" t="s">
        <v>621</v>
      </c>
      <c r="D203" s="21" t="s">
        <v>621</v>
      </c>
      <c r="E203" s="21" t="s">
        <v>621</v>
      </c>
      <c r="F203" s="21" t="s">
        <v>621</v>
      </c>
      <c r="G203" s="21" t="s">
        <v>621</v>
      </c>
      <c r="H203" s="21" t="s">
        <v>621</v>
      </c>
      <c r="I203" s="21" t="s">
        <v>621</v>
      </c>
      <c r="J203" s="21" t="s">
        <v>621</v>
      </c>
      <c r="K203" s="21" t="s">
        <v>621</v>
      </c>
    </row>
    <row r="204" spans="1:11" x14ac:dyDescent="0.25">
      <c r="A204" s="20" t="s">
        <v>3105</v>
      </c>
      <c r="B204" s="21" t="s">
        <v>3106</v>
      </c>
      <c r="C204" s="21" t="s">
        <v>3107</v>
      </c>
      <c r="D204" s="21" t="s">
        <v>3108</v>
      </c>
      <c r="E204" s="21" t="s">
        <v>621</v>
      </c>
      <c r="F204" s="21" t="s">
        <v>621</v>
      </c>
      <c r="G204" s="21" t="s">
        <v>621</v>
      </c>
      <c r="H204" s="21" t="s">
        <v>621</v>
      </c>
      <c r="I204" s="21" t="s">
        <v>621</v>
      </c>
      <c r="J204" s="21" t="s">
        <v>621</v>
      </c>
      <c r="K204" s="21" t="s">
        <v>621</v>
      </c>
    </row>
    <row r="205" spans="1:11" x14ac:dyDescent="0.25">
      <c r="A205" s="20" t="s">
        <v>3109</v>
      </c>
      <c r="B205" s="21" t="s">
        <v>3110</v>
      </c>
      <c r="C205" s="21" t="s">
        <v>621</v>
      </c>
      <c r="D205" s="21" t="s">
        <v>621</v>
      </c>
      <c r="E205" s="21" t="s">
        <v>621</v>
      </c>
      <c r="F205" s="21" t="s">
        <v>621</v>
      </c>
      <c r="G205" s="21" t="s">
        <v>621</v>
      </c>
      <c r="H205" s="21" t="s">
        <v>621</v>
      </c>
      <c r="I205" s="21" t="s">
        <v>621</v>
      </c>
      <c r="J205" s="21" t="s">
        <v>621</v>
      </c>
      <c r="K205" s="21" t="s">
        <v>621</v>
      </c>
    </row>
    <row r="206" spans="1:11" x14ac:dyDescent="0.25">
      <c r="A206" s="20" t="s">
        <v>3111</v>
      </c>
      <c r="B206" s="21" t="s">
        <v>3112</v>
      </c>
      <c r="C206" s="21" t="s">
        <v>621</v>
      </c>
      <c r="D206" s="21" t="s">
        <v>621</v>
      </c>
      <c r="E206" s="21" t="s">
        <v>621</v>
      </c>
      <c r="F206" s="21" t="s">
        <v>621</v>
      </c>
      <c r="G206" s="21" t="s">
        <v>621</v>
      </c>
      <c r="H206" s="21" t="s">
        <v>621</v>
      </c>
      <c r="I206" s="21" t="s">
        <v>621</v>
      </c>
      <c r="J206" s="21" t="s">
        <v>621</v>
      </c>
      <c r="K206" s="21" t="s">
        <v>621</v>
      </c>
    </row>
    <row r="207" spans="1:11" x14ac:dyDescent="0.25">
      <c r="A207" s="20" t="s">
        <v>3113</v>
      </c>
      <c r="B207" s="21" t="s">
        <v>3114</v>
      </c>
      <c r="C207" s="21" t="s">
        <v>621</v>
      </c>
      <c r="D207" s="21" t="s">
        <v>621</v>
      </c>
      <c r="E207" s="21" t="s">
        <v>621</v>
      </c>
      <c r="F207" s="21" t="s">
        <v>621</v>
      </c>
      <c r="G207" s="21" t="s">
        <v>621</v>
      </c>
      <c r="H207" s="21" t="s">
        <v>621</v>
      </c>
      <c r="I207" s="21" t="s">
        <v>621</v>
      </c>
      <c r="J207" s="21" t="s">
        <v>621</v>
      </c>
      <c r="K207" s="21" t="s">
        <v>621</v>
      </c>
    </row>
    <row r="208" spans="1:11" x14ac:dyDescent="0.25">
      <c r="A208" s="20" t="s">
        <v>3115</v>
      </c>
      <c r="B208" s="21" t="s">
        <v>3114</v>
      </c>
      <c r="C208" s="21" t="s">
        <v>621</v>
      </c>
      <c r="D208" s="21" t="s">
        <v>621</v>
      </c>
      <c r="E208" s="21" t="s">
        <v>621</v>
      </c>
      <c r="F208" s="21" t="s">
        <v>621</v>
      </c>
      <c r="G208" s="21" t="s">
        <v>621</v>
      </c>
      <c r="H208" s="21" t="s">
        <v>621</v>
      </c>
      <c r="I208" s="21" t="s">
        <v>621</v>
      </c>
      <c r="J208" s="21" t="s">
        <v>621</v>
      </c>
      <c r="K208" s="21" t="s">
        <v>621</v>
      </c>
    </row>
    <row r="209" spans="1:11" x14ac:dyDescent="0.25">
      <c r="A209" s="20" t="s">
        <v>3116</v>
      </c>
      <c r="B209" s="21" t="s">
        <v>3117</v>
      </c>
      <c r="C209" s="21" t="s">
        <v>621</v>
      </c>
      <c r="D209" s="21" t="s">
        <v>621</v>
      </c>
      <c r="E209" s="21" t="s">
        <v>621</v>
      </c>
      <c r="F209" s="21" t="s">
        <v>621</v>
      </c>
      <c r="G209" s="21" t="s">
        <v>621</v>
      </c>
      <c r="H209" s="21" t="s">
        <v>621</v>
      </c>
      <c r="I209" s="21" t="s">
        <v>621</v>
      </c>
      <c r="J209" s="21" t="s">
        <v>621</v>
      </c>
      <c r="K209" s="21" t="s">
        <v>621</v>
      </c>
    </row>
    <row r="210" spans="1:11" x14ac:dyDescent="0.25">
      <c r="A210" s="20" t="s">
        <v>3118</v>
      </c>
      <c r="B210" s="21" t="s">
        <v>3119</v>
      </c>
      <c r="C210" s="21" t="s">
        <v>621</v>
      </c>
      <c r="D210" s="21" t="s">
        <v>621</v>
      </c>
      <c r="E210" s="21" t="s">
        <v>621</v>
      </c>
      <c r="F210" s="21" t="s">
        <v>621</v>
      </c>
      <c r="G210" s="21" t="s">
        <v>621</v>
      </c>
      <c r="H210" s="21" t="s">
        <v>621</v>
      </c>
      <c r="I210" s="21" t="s">
        <v>621</v>
      </c>
      <c r="J210" s="21" t="s">
        <v>621</v>
      </c>
      <c r="K210" s="21" t="s">
        <v>621</v>
      </c>
    </row>
    <row r="211" spans="1:11" x14ac:dyDescent="0.25">
      <c r="A211" s="20" t="s">
        <v>2555</v>
      </c>
      <c r="B211" s="21" t="s">
        <v>2444</v>
      </c>
      <c r="C211" s="21" t="s">
        <v>2556</v>
      </c>
      <c r="D211" s="21" t="s">
        <v>3120</v>
      </c>
      <c r="E211" s="21" t="s">
        <v>621</v>
      </c>
      <c r="F211" s="21" t="s">
        <v>621</v>
      </c>
      <c r="G211" s="21" t="s">
        <v>621</v>
      </c>
      <c r="H211" s="21" t="s">
        <v>621</v>
      </c>
      <c r="I211" s="21" t="s">
        <v>621</v>
      </c>
      <c r="J211" s="21" t="s">
        <v>621</v>
      </c>
      <c r="K211" s="21" t="s">
        <v>621</v>
      </c>
    </row>
    <row r="212" spans="1:11" x14ac:dyDescent="0.25">
      <c r="A212" s="20" t="s">
        <v>2557</v>
      </c>
      <c r="B212" s="21" t="s">
        <v>2558</v>
      </c>
      <c r="C212" s="21" t="s">
        <v>3121</v>
      </c>
      <c r="D212" s="21" t="s">
        <v>621</v>
      </c>
      <c r="E212" s="21" t="s">
        <v>621</v>
      </c>
      <c r="F212" s="21" t="s">
        <v>621</v>
      </c>
      <c r="G212" s="21" t="s">
        <v>621</v>
      </c>
      <c r="H212" s="21" t="s">
        <v>621</v>
      </c>
      <c r="I212" s="21" t="s">
        <v>621</v>
      </c>
      <c r="J212" s="21" t="s">
        <v>621</v>
      </c>
      <c r="K212" s="21" t="s">
        <v>621</v>
      </c>
    </row>
    <row r="213" spans="1:11" x14ac:dyDescent="0.25">
      <c r="A213" s="20" t="s">
        <v>3122</v>
      </c>
      <c r="B213" s="21" t="s">
        <v>3123</v>
      </c>
      <c r="C213" s="21" t="s">
        <v>621</v>
      </c>
      <c r="D213" s="21" t="s">
        <v>621</v>
      </c>
      <c r="E213" s="21" t="s">
        <v>621</v>
      </c>
      <c r="F213" s="21" t="s">
        <v>621</v>
      </c>
      <c r="G213" s="21" t="s">
        <v>621</v>
      </c>
      <c r="H213" s="21" t="s">
        <v>621</v>
      </c>
      <c r="I213" s="21" t="s">
        <v>621</v>
      </c>
      <c r="J213" s="21" t="s">
        <v>621</v>
      </c>
      <c r="K213" s="21" t="s">
        <v>621</v>
      </c>
    </row>
    <row r="214" spans="1:11" x14ac:dyDescent="0.25">
      <c r="A214" s="20" t="s">
        <v>3124</v>
      </c>
      <c r="B214" s="21" t="s">
        <v>3125</v>
      </c>
      <c r="C214" s="21" t="s">
        <v>621</v>
      </c>
      <c r="D214" s="21" t="s">
        <v>621</v>
      </c>
      <c r="E214" s="21" t="s">
        <v>621</v>
      </c>
      <c r="F214" s="21" t="s">
        <v>621</v>
      </c>
      <c r="G214" s="21" t="s">
        <v>621</v>
      </c>
      <c r="H214" s="21" t="s">
        <v>621</v>
      </c>
      <c r="I214" s="21" t="s">
        <v>621</v>
      </c>
      <c r="J214" s="21" t="s">
        <v>621</v>
      </c>
      <c r="K214" s="21" t="s">
        <v>621</v>
      </c>
    </row>
    <row r="215" spans="1:11" x14ac:dyDescent="0.25">
      <c r="A215" s="20" t="s">
        <v>3126</v>
      </c>
      <c r="B215" s="21" t="s">
        <v>3123</v>
      </c>
      <c r="C215" s="21" t="s">
        <v>621</v>
      </c>
      <c r="D215" s="21" t="s">
        <v>621</v>
      </c>
      <c r="E215" s="21" t="s">
        <v>621</v>
      </c>
      <c r="F215" s="21" t="s">
        <v>621</v>
      </c>
      <c r="G215" s="21" t="s">
        <v>621</v>
      </c>
      <c r="H215" s="21" t="s">
        <v>621</v>
      </c>
      <c r="I215" s="21" t="s">
        <v>621</v>
      </c>
      <c r="J215" s="21" t="s">
        <v>621</v>
      </c>
      <c r="K215" s="21" t="s">
        <v>621</v>
      </c>
    </row>
    <row r="216" spans="1:11" x14ac:dyDescent="0.25">
      <c r="A216" s="20" t="s">
        <v>3127</v>
      </c>
      <c r="B216" s="21" t="s">
        <v>3128</v>
      </c>
      <c r="C216" s="21" t="s">
        <v>621</v>
      </c>
      <c r="D216" s="21" t="s">
        <v>621</v>
      </c>
      <c r="E216" s="21" t="s">
        <v>621</v>
      </c>
      <c r="F216" s="21" t="s">
        <v>621</v>
      </c>
      <c r="G216" s="21" t="s">
        <v>621</v>
      </c>
      <c r="H216" s="21" t="s">
        <v>621</v>
      </c>
      <c r="I216" s="21" t="s">
        <v>621</v>
      </c>
      <c r="J216" s="21" t="s">
        <v>621</v>
      </c>
      <c r="K216" s="21" t="s">
        <v>621</v>
      </c>
    </row>
    <row r="217" spans="1:11" x14ac:dyDescent="0.25">
      <c r="A217" s="20" t="s">
        <v>3129</v>
      </c>
      <c r="B217" s="21" t="s">
        <v>3130</v>
      </c>
      <c r="C217" s="21" t="s">
        <v>621</v>
      </c>
      <c r="D217" s="21" t="s">
        <v>621</v>
      </c>
      <c r="E217" s="21" t="s">
        <v>621</v>
      </c>
      <c r="F217" s="21" t="s">
        <v>621</v>
      </c>
      <c r="G217" s="21" t="s">
        <v>621</v>
      </c>
      <c r="H217" s="21" t="s">
        <v>621</v>
      </c>
      <c r="I217" s="21" t="s">
        <v>621</v>
      </c>
      <c r="J217" s="21" t="s">
        <v>621</v>
      </c>
      <c r="K217" s="21" t="s">
        <v>621</v>
      </c>
    </row>
    <row r="218" spans="1:11" x14ac:dyDescent="0.25">
      <c r="A218" s="20" t="s">
        <v>3131</v>
      </c>
      <c r="B218" s="21" t="s">
        <v>3132</v>
      </c>
      <c r="C218" s="21" t="s">
        <v>621</v>
      </c>
      <c r="D218" s="21" t="s">
        <v>621</v>
      </c>
      <c r="E218" s="21" t="s">
        <v>621</v>
      </c>
      <c r="F218" s="21" t="s">
        <v>621</v>
      </c>
      <c r="G218" s="21" t="s">
        <v>621</v>
      </c>
      <c r="H218" s="21" t="s">
        <v>621</v>
      </c>
      <c r="I218" s="21" t="s">
        <v>621</v>
      </c>
      <c r="J218" s="21" t="s">
        <v>621</v>
      </c>
      <c r="K218" s="21" t="s">
        <v>621</v>
      </c>
    </row>
    <row r="219" spans="1:11" x14ac:dyDescent="0.25">
      <c r="A219" s="20" t="s">
        <v>3133</v>
      </c>
      <c r="B219" s="21" t="s">
        <v>3134</v>
      </c>
      <c r="C219" s="21" t="s">
        <v>621</v>
      </c>
      <c r="D219" s="21" t="s">
        <v>621</v>
      </c>
      <c r="E219" s="21" t="s">
        <v>621</v>
      </c>
      <c r="F219" s="21" t="s">
        <v>621</v>
      </c>
      <c r="G219" s="21" t="s">
        <v>621</v>
      </c>
      <c r="H219" s="21" t="s">
        <v>621</v>
      </c>
      <c r="I219" s="21" t="s">
        <v>621</v>
      </c>
      <c r="J219" s="21" t="s">
        <v>621</v>
      </c>
      <c r="K219" s="21" t="s">
        <v>621</v>
      </c>
    </row>
    <row r="220" spans="1:11" x14ac:dyDescent="0.25">
      <c r="A220" s="20" t="s">
        <v>3135</v>
      </c>
      <c r="B220" s="21" t="s">
        <v>3136</v>
      </c>
      <c r="C220" s="21" t="s">
        <v>621</v>
      </c>
      <c r="D220" s="21" t="s">
        <v>621</v>
      </c>
      <c r="E220" s="21" t="s">
        <v>621</v>
      </c>
      <c r="F220" s="21" t="s">
        <v>621</v>
      </c>
      <c r="G220" s="21" t="s">
        <v>621</v>
      </c>
      <c r="H220" s="21" t="s">
        <v>621</v>
      </c>
      <c r="I220" s="21" t="s">
        <v>621</v>
      </c>
      <c r="J220" s="21" t="s">
        <v>621</v>
      </c>
      <c r="K220" s="21" t="s">
        <v>621</v>
      </c>
    </row>
    <row r="221" spans="1:11" x14ac:dyDescent="0.25">
      <c r="A221" s="20" t="s">
        <v>2559</v>
      </c>
      <c r="B221" s="21" t="s">
        <v>2560</v>
      </c>
      <c r="C221" s="21" t="s">
        <v>2561</v>
      </c>
      <c r="D221" s="21" t="s">
        <v>2562</v>
      </c>
      <c r="E221" s="21" t="s">
        <v>621</v>
      </c>
      <c r="F221" s="21" t="s">
        <v>621</v>
      </c>
      <c r="G221" s="21" t="s">
        <v>621</v>
      </c>
      <c r="H221" s="21" t="s">
        <v>621</v>
      </c>
      <c r="I221" s="21" t="s">
        <v>621</v>
      </c>
      <c r="J221" s="21" t="s">
        <v>621</v>
      </c>
      <c r="K221" s="21" t="s">
        <v>621</v>
      </c>
    </row>
    <row r="222" spans="1:11" x14ac:dyDescent="0.25">
      <c r="A222" s="20" t="s">
        <v>3137</v>
      </c>
      <c r="B222" s="21" t="s">
        <v>3138</v>
      </c>
      <c r="C222" s="21" t="s">
        <v>621</v>
      </c>
      <c r="D222" s="21" t="s">
        <v>621</v>
      </c>
      <c r="E222" s="21" t="s">
        <v>621</v>
      </c>
      <c r="F222" s="21" t="s">
        <v>621</v>
      </c>
      <c r="G222" s="21" t="s">
        <v>621</v>
      </c>
      <c r="H222" s="21" t="s">
        <v>621</v>
      </c>
      <c r="I222" s="21" t="s">
        <v>621</v>
      </c>
      <c r="J222" s="21" t="s">
        <v>621</v>
      </c>
      <c r="K222" s="21" t="s">
        <v>621</v>
      </c>
    </row>
    <row r="223" spans="1:11" x14ac:dyDescent="0.25">
      <c r="A223" s="20" t="s">
        <v>3139</v>
      </c>
      <c r="B223" s="21" t="s">
        <v>3140</v>
      </c>
      <c r="C223" s="21" t="s">
        <v>621</v>
      </c>
      <c r="D223" s="21" t="s">
        <v>621</v>
      </c>
      <c r="E223" s="21" t="s">
        <v>621</v>
      </c>
      <c r="F223" s="21" t="s">
        <v>621</v>
      </c>
      <c r="G223" s="21" t="s">
        <v>621</v>
      </c>
      <c r="H223" s="21" t="s">
        <v>621</v>
      </c>
      <c r="I223" s="21" t="s">
        <v>621</v>
      </c>
      <c r="J223" s="21" t="s">
        <v>621</v>
      </c>
      <c r="K223" s="21" t="s">
        <v>621</v>
      </c>
    </row>
    <row r="224" spans="1:11" x14ac:dyDescent="0.25">
      <c r="A224" s="20" t="s">
        <v>3141</v>
      </c>
      <c r="B224" s="21" t="s">
        <v>3134</v>
      </c>
      <c r="C224" s="21" t="s">
        <v>3128</v>
      </c>
      <c r="D224" s="21" t="s">
        <v>621</v>
      </c>
      <c r="E224" s="21" t="s">
        <v>621</v>
      </c>
      <c r="F224" s="21" t="s">
        <v>621</v>
      </c>
      <c r="G224" s="21" t="s">
        <v>621</v>
      </c>
      <c r="H224" s="21" t="s">
        <v>621</v>
      </c>
      <c r="I224" s="21" t="s">
        <v>621</v>
      </c>
      <c r="J224" s="21" t="s">
        <v>621</v>
      </c>
      <c r="K224" s="21" t="s">
        <v>621</v>
      </c>
    </row>
    <row r="225" spans="1:11" x14ac:dyDescent="0.25">
      <c r="A225" s="20" t="s">
        <v>3142</v>
      </c>
      <c r="B225" s="21" t="s">
        <v>3136</v>
      </c>
      <c r="C225" s="21" t="s">
        <v>3130</v>
      </c>
      <c r="D225" s="21" t="s">
        <v>621</v>
      </c>
      <c r="E225" s="21" t="s">
        <v>621</v>
      </c>
      <c r="F225" s="21" t="s">
        <v>621</v>
      </c>
      <c r="G225" s="21" t="s">
        <v>621</v>
      </c>
      <c r="H225" s="21" t="s">
        <v>621</v>
      </c>
      <c r="I225" s="21" t="s">
        <v>621</v>
      </c>
      <c r="J225" s="21" t="s">
        <v>621</v>
      </c>
      <c r="K225" s="21" t="s">
        <v>621</v>
      </c>
    </row>
    <row r="226" spans="1:11" x14ac:dyDescent="0.25">
      <c r="A226" s="20" t="s">
        <v>3143</v>
      </c>
      <c r="B226" s="21" t="s">
        <v>3132</v>
      </c>
      <c r="C226" s="21" t="s">
        <v>621</v>
      </c>
      <c r="D226" s="21" t="s">
        <v>621</v>
      </c>
      <c r="E226" s="21" t="s">
        <v>621</v>
      </c>
      <c r="F226" s="21" t="s">
        <v>621</v>
      </c>
      <c r="G226" s="21" t="s">
        <v>621</v>
      </c>
      <c r="H226" s="21" t="s">
        <v>621</v>
      </c>
      <c r="I226" s="21" t="s">
        <v>621</v>
      </c>
      <c r="J226" s="21" t="s">
        <v>621</v>
      </c>
      <c r="K226" s="21" t="s">
        <v>621</v>
      </c>
    </row>
    <row r="227" spans="1:11" x14ac:dyDescent="0.25">
      <c r="A227" s="20" t="s">
        <v>3144</v>
      </c>
      <c r="B227" s="21" t="s">
        <v>3145</v>
      </c>
      <c r="C227" s="21" t="s">
        <v>621</v>
      </c>
      <c r="D227" s="21" t="s">
        <v>621</v>
      </c>
      <c r="E227" s="21" t="s">
        <v>621</v>
      </c>
      <c r="F227" s="21" t="s">
        <v>621</v>
      </c>
      <c r="G227" s="21" t="s">
        <v>621</v>
      </c>
      <c r="H227" s="21" t="s">
        <v>621</v>
      </c>
      <c r="I227" s="21" t="s">
        <v>621</v>
      </c>
      <c r="J227" s="21" t="s">
        <v>621</v>
      </c>
      <c r="K227" s="21" t="s">
        <v>621</v>
      </c>
    </row>
    <row r="228" spans="1:11" x14ac:dyDescent="0.25">
      <c r="A228" s="20" t="s">
        <v>3146</v>
      </c>
      <c r="B228" s="21" t="s">
        <v>3147</v>
      </c>
      <c r="C228" s="21" t="s">
        <v>621</v>
      </c>
      <c r="D228" s="21" t="s">
        <v>621</v>
      </c>
      <c r="E228" s="21" t="s">
        <v>621</v>
      </c>
      <c r="F228" s="21" t="s">
        <v>621</v>
      </c>
      <c r="G228" s="21" t="s">
        <v>621</v>
      </c>
      <c r="H228" s="21" t="s">
        <v>621</v>
      </c>
      <c r="I228" s="21" t="s">
        <v>621</v>
      </c>
      <c r="J228" s="21" t="s">
        <v>621</v>
      </c>
      <c r="K228" s="21" t="s">
        <v>621</v>
      </c>
    </row>
    <row r="229" spans="1:11" x14ac:dyDescent="0.25">
      <c r="A229" s="20" t="s">
        <v>3148</v>
      </c>
      <c r="B229" s="21" t="s">
        <v>3149</v>
      </c>
      <c r="C229" s="21" t="s">
        <v>621</v>
      </c>
      <c r="D229" s="21" t="s">
        <v>621</v>
      </c>
      <c r="E229" s="21" t="s">
        <v>621</v>
      </c>
      <c r="F229" s="21" t="s">
        <v>621</v>
      </c>
      <c r="G229" s="21" t="s">
        <v>621</v>
      </c>
      <c r="H229" s="21" t="s">
        <v>621</v>
      </c>
      <c r="I229" s="21" t="s">
        <v>621</v>
      </c>
      <c r="J229" s="21" t="s">
        <v>621</v>
      </c>
      <c r="K229" s="21" t="s">
        <v>621</v>
      </c>
    </row>
    <row r="230" spans="1:11" x14ac:dyDescent="0.25">
      <c r="A230" s="20" t="s">
        <v>2563</v>
      </c>
      <c r="B230" s="21" t="s">
        <v>2564</v>
      </c>
      <c r="C230" s="21" t="s">
        <v>2565</v>
      </c>
      <c r="D230" s="21" t="s">
        <v>3150</v>
      </c>
      <c r="E230" s="21" t="s">
        <v>621</v>
      </c>
      <c r="F230" s="21" t="s">
        <v>621</v>
      </c>
      <c r="G230" s="21" t="s">
        <v>621</v>
      </c>
      <c r="H230" s="21" t="s">
        <v>621</v>
      </c>
      <c r="I230" s="21" t="s">
        <v>621</v>
      </c>
      <c r="J230" s="21" t="s">
        <v>621</v>
      </c>
      <c r="K230" s="21" t="s">
        <v>621</v>
      </c>
    </row>
    <row r="231" spans="1:11" x14ac:dyDescent="0.25">
      <c r="A231" s="20" t="s">
        <v>3151</v>
      </c>
      <c r="B231" s="21" t="s">
        <v>3152</v>
      </c>
      <c r="C231" s="21" t="s">
        <v>621</v>
      </c>
      <c r="D231" s="21" t="s">
        <v>621</v>
      </c>
      <c r="E231" s="21" t="s">
        <v>621</v>
      </c>
      <c r="F231" s="21" t="s">
        <v>621</v>
      </c>
      <c r="G231" s="21" t="s">
        <v>621</v>
      </c>
      <c r="H231" s="21" t="s">
        <v>621</v>
      </c>
      <c r="I231" s="21" t="s">
        <v>621</v>
      </c>
      <c r="J231" s="21" t="s">
        <v>621</v>
      </c>
      <c r="K231" s="21" t="s">
        <v>621</v>
      </c>
    </row>
    <row r="232" spans="1:11" x14ac:dyDescent="0.25">
      <c r="A232" s="20" t="s">
        <v>3153</v>
      </c>
      <c r="B232" s="21" t="s">
        <v>3154</v>
      </c>
      <c r="C232" s="21" t="s">
        <v>621</v>
      </c>
      <c r="D232" s="21" t="s">
        <v>621</v>
      </c>
      <c r="E232" s="21" t="s">
        <v>621</v>
      </c>
      <c r="F232" s="21" t="s">
        <v>621</v>
      </c>
      <c r="G232" s="21" t="s">
        <v>621</v>
      </c>
      <c r="H232" s="21" t="s">
        <v>621</v>
      </c>
      <c r="I232" s="21" t="s">
        <v>621</v>
      </c>
      <c r="J232" s="21" t="s">
        <v>621</v>
      </c>
      <c r="K232" s="21" t="s">
        <v>621</v>
      </c>
    </row>
    <row r="233" spans="1:11" x14ac:dyDescent="0.25">
      <c r="A233" s="20" t="s">
        <v>3155</v>
      </c>
      <c r="B233" s="21" t="s">
        <v>3156</v>
      </c>
      <c r="C233" s="21" t="s">
        <v>621</v>
      </c>
      <c r="D233" s="21" t="s">
        <v>621</v>
      </c>
      <c r="E233" s="21" t="s">
        <v>621</v>
      </c>
      <c r="F233" s="21" t="s">
        <v>621</v>
      </c>
      <c r="G233" s="21" t="s">
        <v>621</v>
      </c>
      <c r="H233" s="21" t="s">
        <v>621</v>
      </c>
      <c r="I233" s="21" t="s">
        <v>621</v>
      </c>
      <c r="J233" s="21" t="s">
        <v>621</v>
      </c>
      <c r="K233" s="21" t="s">
        <v>621</v>
      </c>
    </row>
    <row r="234" spans="1:11" x14ac:dyDescent="0.25">
      <c r="A234" s="20" t="s">
        <v>3157</v>
      </c>
      <c r="B234" s="21" t="s">
        <v>3158</v>
      </c>
      <c r="C234" s="21" t="s">
        <v>621</v>
      </c>
      <c r="D234" s="21" t="s">
        <v>621</v>
      </c>
      <c r="E234" s="21" t="s">
        <v>621</v>
      </c>
      <c r="F234" s="21" t="s">
        <v>621</v>
      </c>
      <c r="G234" s="21" t="s">
        <v>621</v>
      </c>
      <c r="H234" s="21" t="s">
        <v>621</v>
      </c>
      <c r="I234" s="21" t="s">
        <v>621</v>
      </c>
      <c r="J234" s="21" t="s">
        <v>621</v>
      </c>
      <c r="K234" s="21" t="s">
        <v>621</v>
      </c>
    </row>
    <row r="235" spans="1:11" x14ac:dyDescent="0.25">
      <c r="A235" s="20" t="s">
        <v>3159</v>
      </c>
      <c r="B235" s="21" t="s">
        <v>3160</v>
      </c>
      <c r="C235" s="21" t="s">
        <v>621</v>
      </c>
      <c r="D235" s="21" t="s">
        <v>621</v>
      </c>
      <c r="E235" s="21" t="s">
        <v>621</v>
      </c>
      <c r="F235" s="21" t="s">
        <v>621</v>
      </c>
      <c r="G235" s="21" t="s">
        <v>621</v>
      </c>
      <c r="H235" s="21" t="s">
        <v>621</v>
      </c>
      <c r="I235" s="21" t="s">
        <v>621</v>
      </c>
      <c r="J235" s="21" t="s">
        <v>621</v>
      </c>
      <c r="K235" s="21" t="s">
        <v>621</v>
      </c>
    </row>
    <row r="236" spans="1:11" x14ac:dyDescent="0.25">
      <c r="A236" s="20" t="s">
        <v>2566</v>
      </c>
      <c r="B236" s="21" t="s">
        <v>2497</v>
      </c>
      <c r="C236" s="21" t="s">
        <v>3161</v>
      </c>
      <c r="D236" s="21" t="s">
        <v>621</v>
      </c>
      <c r="E236" s="21" t="s">
        <v>621</v>
      </c>
      <c r="F236" s="21" t="s">
        <v>621</v>
      </c>
      <c r="G236" s="21" t="s">
        <v>621</v>
      </c>
      <c r="H236" s="21" t="s">
        <v>621</v>
      </c>
      <c r="I236" s="21" t="s">
        <v>621</v>
      </c>
      <c r="J236" s="21" t="s">
        <v>621</v>
      </c>
      <c r="K236" s="21" t="s">
        <v>621</v>
      </c>
    </row>
    <row r="237" spans="1:11" x14ac:dyDescent="0.25">
      <c r="A237" s="20" t="s">
        <v>2567</v>
      </c>
      <c r="B237" s="21" t="s">
        <v>2568</v>
      </c>
      <c r="C237" s="21" t="s">
        <v>2569</v>
      </c>
      <c r="D237" s="21" t="s">
        <v>3161</v>
      </c>
      <c r="E237" s="21" t="s">
        <v>621</v>
      </c>
      <c r="F237" s="21" t="s">
        <v>621</v>
      </c>
      <c r="G237" s="21" t="s">
        <v>621</v>
      </c>
      <c r="H237" s="21" t="s">
        <v>621</v>
      </c>
      <c r="I237" s="21" t="s">
        <v>621</v>
      </c>
      <c r="J237" s="21" t="s">
        <v>621</v>
      </c>
      <c r="K237" s="21" t="s">
        <v>621</v>
      </c>
    </row>
    <row r="238" spans="1:11" x14ac:dyDescent="0.25">
      <c r="A238" s="20" t="s">
        <v>3162</v>
      </c>
      <c r="B238" s="21" t="s">
        <v>3163</v>
      </c>
      <c r="C238" s="21" t="s">
        <v>621</v>
      </c>
      <c r="D238" s="21" t="s">
        <v>621</v>
      </c>
      <c r="E238" s="21" t="s">
        <v>621</v>
      </c>
      <c r="F238" s="21" t="s">
        <v>621</v>
      </c>
      <c r="G238" s="21" t="s">
        <v>621</v>
      </c>
      <c r="H238" s="21" t="s">
        <v>621</v>
      </c>
      <c r="I238" s="21" t="s">
        <v>621</v>
      </c>
      <c r="J238" s="21" t="s">
        <v>621</v>
      </c>
      <c r="K238" s="21" t="s">
        <v>621</v>
      </c>
    </row>
    <row r="239" spans="1:11" x14ac:dyDescent="0.25">
      <c r="A239" s="20" t="s">
        <v>3164</v>
      </c>
      <c r="B239" s="21" t="s">
        <v>3163</v>
      </c>
      <c r="C239" s="21" t="s">
        <v>621</v>
      </c>
      <c r="D239" s="21" t="s">
        <v>621</v>
      </c>
      <c r="E239" s="21" t="s">
        <v>621</v>
      </c>
      <c r="F239" s="21" t="s">
        <v>621</v>
      </c>
      <c r="G239" s="21" t="s">
        <v>621</v>
      </c>
      <c r="H239" s="21" t="s">
        <v>621</v>
      </c>
      <c r="I239" s="21" t="s">
        <v>621</v>
      </c>
      <c r="J239" s="21" t="s">
        <v>621</v>
      </c>
      <c r="K239" s="21" t="s">
        <v>621</v>
      </c>
    </row>
    <row r="240" spans="1:11" x14ac:dyDescent="0.25">
      <c r="A240" s="20" t="s">
        <v>3165</v>
      </c>
      <c r="B240" s="21" t="s">
        <v>3166</v>
      </c>
      <c r="C240" s="21" t="s">
        <v>3167</v>
      </c>
      <c r="D240" s="21" t="s">
        <v>621</v>
      </c>
      <c r="E240" s="21" t="s">
        <v>621</v>
      </c>
      <c r="F240" s="21" t="s">
        <v>621</v>
      </c>
      <c r="G240" s="21" t="s">
        <v>621</v>
      </c>
      <c r="H240" s="21" t="s">
        <v>621</v>
      </c>
      <c r="I240" s="21" t="s">
        <v>621</v>
      </c>
      <c r="J240" s="21" t="s">
        <v>621</v>
      </c>
      <c r="K240" s="21" t="s">
        <v>621</v>
      </c>
    </row>
    <row r="241" spans="1:11" x14ac:dyDescent="0.25">
      <c r="A241" s="20" t="s">
        <v>3168</v>
      </c>
      <c r="B241" s="21" t="s">
        <v>3169</v>
      </c>
      <c r="C241" s="21" t="s">
        <v>621</v>
      </c>
      <c r="D241" s="21" t="s">
        <v>621</v>
      </c>
      <c r="E241" s="21" t="s">
        <v>621</v>
      </c>
      <c r="F241" s="21" t="s">
        <v>621</v>
      </c>
      <c r="G241" s="21" t="s">
        <v>621</v>
      </c>
      <c r="H241" s="21" t="s">
        <v>621</v>
      </c>
      <c r="I241" s="21" t="s">
        <v>621</v>
      </c>
      <c r="J241" s="21" t="s">
        <v>621</v>
      </c>
      <c r="K241" s="21" t="s">
        <v>621</v>
      </c>
    </row>
    <row r="242" spans="1:11" x14ac:dyDescent="0.25">
      <c r="A242" s="20" t="s">
        <v>2570</v>
      </c>
      <c r="B242" s="21" t="s">
        <v>2571</v>
      </c>
      <c r="C242" s="21" t="s">
        <v>3170</v>
      </c>
      <c r="D242" s="21" t="s">
        <v>621</v>
      </c>
      <c r="E242" s="21" t="s">
        <v>621</v>
      </c>
      <c r="F242" s="21" t="s">
        <v>621</v>
      </c>
      <c r="G242" s="21" t="s">
        <v>621</v>
      </c>
      <c r="H242" s="21" t="s">
        <v>621</v>
      </c>
      <c r="I242" s="21" t="s">
        <v>621</v>
      </c>
      <c r="J242" s="21" t="s">
        <v>621</v>
      </c>
      <c r="K242" s="21" t="s">
        <v>621</v>
      </c>
    </row>
    <row r="243" spans="1:11" x14ac:dyDescent="0.25">
      <c r="A243" s="20" t="s">
        <v>3171</v>
      </c>
      <c r="B243" s="21" t="s">
        <v>3172</v>
      </c>
      <c r="C243" s="21" t="s">
        <v>621</v>
      </c>
      <c r="D243" s="21" t="s">
        <v>621</v>
      </c>
      <c r="E243" s="21" t="s">
        <v>621</v>
      </c>
      <c r="F243" s="21" t="s">
        <v>621</v>
      </c>
      <c r="G243" s="21" t="s">
        <v>621</v>
      </c>
      <c r="H243" s="21" t="s">
        <v>621</v>
      </c>
      <c r="I243" s="21" t="s">
        <v>621</v>
      </c>
      <c r="J243" s="21" t="s">
        <v>621</v>
      </c>
      <c r="K243" s="21" t="s">
        <v>621</v>
      </c>
    </row>
    <row r="244" spans="1:11" x14ac:dyDescent="0.25">
      <c r="A244" s="20" t="s">
        <v>3173</v>
      </c>
      <c r="B244" s="21" t="s">
        <v>3174</v>
      </c>
      <c r="C244" s="21" t="s">
        <v>3175</v>
      </c>
      <c r="D244" s="21" t="s">
        <v>621</v>
      </c>
      <c r="E244" s="21" t="s">
        <v>621</v>
      </c>
      <c r="F244" s="21" t="s">
        <v>621</v>
      </c>
      <c r="G244" s="21" t="s">
        <v>621</v>
      </c>
      <c r="H244" s="21" t="s">
        <v>621</v>
      </c>
      <c r="I244" s="21" t="s">
        <v>621</v>
      </c>
      <c r="J244" s="21" t="s">
        <v>621</v>
      </c>
      <c r="K244" s="21" t="s">
        <v>621</v>
      </c>
    </row>
    <row r="245" spans="1:11" x14ac:dyDescent="0.25">
      <c r="A245" s="20" t="s">
        <v>2572</v>
      </c>
      <c r="B245" s="21" t="s">
        <v>2571</v>
      </c>
      <c r="C245" s="21" t="s">
        <v>3170</v>
      </c>
      <c r="D245" s="21" t="s">
        <v>621</v>
      </c>
      <c r="E245" s="21" t="s">
        <v>621</v>
      </c>
      <c r="F245" s="21" t="s">
        <v>621</v>
      </c>
      <c r="G245" s="21" t="s">
        <v>621</v>
      </c>
      <c r="H245" s="21" t="s">
        <v>621</v>
      </c>
      <c r="I245" s="21" t="s">
        <v>621</v>
      </c>
      <c r="J245" s="21" t="s">
        <v>621</v>
      </c>
      <c r="K245" s="21" t="s">
        <v>621</v>
      </c>
    </row>
    <row r="246" spans="1:11" x14ac:dyDescent="0.25">
      <c r="A246" s="20" t="s">
        <v>3176</v>
      </c>
      <c r="B246" s="21" t="s">
        <v>3177</v>
      </c>
      <c r="C246" s="21" t="s">
        <v>3178</v>
      </c>
      <c r="D246" s="21" t="s">
        <v>621</v>
      </c>
      <c r="E246" s="21" t="s">
        <v>621</v>
      </c>
      <c r="F246" s="21" t="s">
        <v>621</v>
      </c>
      <c r="G246" s="21" t="s">
        <v>621</v>
      </c>
      <c r="H246" s="21" t="s">
        <v>621</v>
      </c>
      <c r="I246" s="21" t="s">
        <v>621</v>
      </c>
      <c r="J246" s="21" t="s">
        <v>621</v>
      </c>
      <c r="K246" s="21" t="s">
        <v>621</v>
      </c>
    </row>
    <row r="247" spans="1:11" x14ac:dyDescent="0.25">
      <c r="A247" s="20" t="s">
        <v>3179</v>
      </c>
      <c r="B247" s="21" t="s">
        <v>3180</v>
      </c>
      <c r="C247" s="21" t="s">
        <v>3181</v>
      </c>
      <c r="D247" s="21" t="s">
        <v>621</v>
      </c>
      <c r="E247" s="21" t="s">
        <v>621</v>
      </c>
      <c r="F247" s="21" t="s">
        <v>621</v>
      </c>
      <c r="G247" s="21" t="s">
        <v>621</v>
      </c>
      <c r="H247" s="21" t="s">
        <v>621</v>
      </c>
      <c r="I247" s="21" t="s">
        <v>621</v>
      </c>
      <c r="J247" s="21" t="s">
        <v>621</v>
      </c>
      <c r="K247" s="21" t="s">
        <v>621</v>
      </c>
    </row>
    <row r="248" spans="1:11" x14ac:dyDescent="0.25">
      <c r="A248" s="20" t="s">
        <v>2573</v>
      </c>
      <c r="B248" s="21" t="s">
        <v>2462</v>
      </c>
      <c r="C248" s="21" t="s">
        <v>2574</v>
      </c>
      <c r="D248" s="21" t="s">
        <v>2575</v>
      </c>
      <c r="E248" s="21" t="s">
        <v>3182</v>
      </c>
      <c r="F248" s="21" t="s">
        <v>621</v>
      </c>
      <c r="G248" s="21" t="s">
        <v>621</v>
      </c>
      <c r="H248" s="21" t="s">
        <v>621</v>
      </c>
      <c r="I248" s="21" t="s">
        <v>621</v>
      </c>
      <c r="J248" s="21" t="s">
        <v>621</v>
      </c>
      <c r="K248" s="21" t="s">
        <v>621</v>
      </c>
    </row>
    <row r="249" spans="1:11" x14ac:dyDescent="0.25">
      <c r="A249" s="20" t="s">
        <v>3183</v>
      </c>
      <c r="B249" s="21" t="s">
        <v>3184</v>
      </c>
      <c r="C249" s="21" t="s">
        <v>621</v>
      </c>
      <c r="D249" s="21" t="s">
        <v>621</v>
      </c>
      <c r="E249" s="21" t="s">
        <v>621</v>
      </c>
      <c r="F249" s="21" t="s">
        <v>621</v>
      </c>
      <c r="G249" s="21" t="s">
        <v>621</v>
      </c>
      <c r="H249" s="21" t="s">
        <v>621</v>
      </c>
      <c r="I249" s="21" t="s">
        <v>621</v>
      </c>
      <c r="J249" s="21" t="s">
        <v>621</v>
      </c>
      <c r="K249" s="21" t="s">
        <v>621</v>
      </c>
    </row>
    <row r="250" spans="1:11" x14ac:dyDescent="0.25">
      <c r="A250" s="20" t="s">
        <v>3185</v>
      </c>
      <c r="B250" s="21" t="s">
        <v>3186</v>
      </c>
      <c r="C250" s="21" t="s">
        <v>621</v>
      </c>
      <c r="D250" s="21" t="s">
        <v>621</v>
      </c>
      <c r="E250" s="21" t="s">
        <v>621</v>
      </c>
      <c r="F250" s="21" t="s">
        <v>621</v>
      </c>
      <c r="G250" s="21" t="s">
        <v>621</v>
      </c>
      <c r="H250" s="21" t="s">
        <v>621</v>
      </c>
      <c r="I250" s="21" t="s">
        <v>621</v>
      </c>
      <c r="J250" s="21" t="s">
        <v>621</v>
      </c>
      <c r="K250" s="21" t="s">
        <v>621</v>
      </c>
    </row>
    <row r="251" spans="1:11" x14ac:dyDescent="0.25">
      <c r="A251" s="20" t="s">
        <v>3187</v>
      </c>
      <c r="B251" s="21" t="s">
        <v>3188</v>
      </c>
      <c r="C251" s="21" t="s">
        <v>621</v>
      </c>
      <c r="D251" s="21" t="s">
        <v>621</v>
      </c>
      <c r="E251" s="21" t="s">
        <v>621</v>
      </c>
      <c r="F251" s="21" t="s">
        <v>621</v>
      </c>
      <c r="G251" s="21" t="s">
        <v>621</v>
      </c>
      <c r="H251" s="21" t="s">
        <v>621</v>
      </c>
      <c r="I251" s="21" t="s">
        <v>621</v>
      </c>
      <c r="J251" s="21" t="s">
        <v>621</v>
      </c>
      <c r="K251" s="21" t="s">
        <v>621</v>
      </c>
    </row>
    <row r="252" spans="1:11" x14ac:dyDescent="0.25">
      <c r="A252" s="20" t="s">
        <v>3189</v>
      </c>
      <c r="B252" s="21" t="s">
        <v>3190</v>
      </c>
      <c r="C252" s="21" t="s">
        <v>621</v>
      </c>
      <c r="D252" s="21" t="s">
        <v>621</v>
      </c>
      <c r="E252" s="21" t="s">
        <v>621</v>
      </c>
      <c r="F252" s="21" t="s">
        <v>621</v>
      </c>
      <c r="G252" s="21" t="s">
        <v>621</v>
      </c>
      <c r="H252" s="21" t="s">
        <v>621</v>
      </c>
      <c r="I252" s="21" t="s">
        <v>621</v>
      </c>
      <c r="J252" s="21" t="s">
        <v>621</v>
      </c>
      <c r="K252" s="21" t="s">
        <v>621</v>
      </c>
    </row>
    <row r="253" spans="1:11" x14ac:dyDescent="0.25">
      <c r="A253" s="20" t="s">
        <v>3191</v>
      </c>
      <c r="B253" s="21" t="s">
        <v>3192</v>
      </c>
      <c r="C253" s="21" t="s">
        <v>621</v>
      </c>
      <c r="D253" s="21" t="s">
        <v>621</v>
      </c>
      <c r="E253" s="21" t="s">
        <v>621</v>
      </c>
      <c r="F253" s="21" t="s">
        <v>621</v>
      </c>
      <c r="G253" s="21" t="s">
        <v>621</v>
      </c>
      <c r="H253" s="21" t="s">
        <v>621</v>
      </c>
      <c r="I253" s="21" t="s">
        <v>621</v>
      </c>
      <c r="J253" s="21" t="s">
        <v>621</v>
      </c>
      <c r="K253" s="21" t="s">
        <v>621</v>
      </c>
    </row>
    <row r="254" spans="1:11" x14ac:dyDescent="0.25">
      <c r="A254" s="20" t="s">
        <v>3193</v>
      </c>
      <c r="B254" s="21" t="s">
        <v>3177</v>
      </c>
      <c r="C254" s="21" t="s">
        <v>621</v>
      </c>
      <c r="D254" s="21" t="s">
        <v>621</v>
      </c>
      <c r="E254" s="21" t="s">
        <v>621</v>
      </c>
      <c r="F254" s="21" t="s">
        <v>621</v>
      </c>
      <c r="G254" s="21" t="s">
        <v>621</v>
      </c>
      <c r="H254" s="21" t="s">
        <v>621</v>
      </c>
      <c r="I254" s="21" t="s">
        <v>621</v>
      </c>
      <c r="J254" s="21" t="s">
        <v>621</v>
      </c>
      <c r="K254" s="21" t="s">
        <v>621</v>
      </c>
    </row>
    <row r="255" spans="1:11" x14ac:dyDescent="0.25">
      <c r="A255" s="20" t="s">
        <v>2576</v>
      </c>
      <c r="B255" s="21" t="s">
        <v>2577</v>
      </c>
      <c r="C255" s="21" t="s">
        <v>2578</v>
      </c>
      <c r="D255" s="21" t="s">
        <v>2907</v>
      </c>
      <c r="E255" s="21" t="s">
        <v>2906</v>
      </c>
      <c r="F255" s="21" t="s">
        <v>3194</v>
      </c>
      <c r="G255" s="21" t="s">
        <v>621</v>
      </c>
      <c r="H255" s="21" t="s">
        <v>621</v>
      </c>
      <c r="I255" s="21" t="s">
        <v>621</v>
      </c>
      <c r="J255" s="21" t="s">
        <v>621</v>
      </c>
      <c r="K255" s="21" t="s">
        <v>621</v>
      </c>
    </row>
    <row r="256" spans="1:11" x14ac:dyDescent="0.25">
      <c r="A256" s="20" t="s">
        <v>2579</v>
      </c>
      <c r="B256" s="21" t="s">
        <v>2499</v>
      </c>
      <c r="C256" s="21" t="s">
        <v>2488</v>
      </c>
      <c r="D256" s="21" t="s">
        <v>2578</v>
      </c>
      <c r="E256" s="21" t="s">
        <v>2893</v>
      </c>
      <c r="F256" s="21" t="s">
        <v>2907</v>
      </c>
      <c r="G256" s="21" t="s">
        <v>2906</v>
      </c>
      <c r="H256" s="21" t="s">
        <v>3194</v>
      </c>
      <c r="I256" s="21" t="s">
        <v>2886</v>
      </c>
      <c r="J256" s="21" t="s">
        <v>2885</v>
      </c>
      <c r="K256" s="21" t="s">
        <v>621</v>
      </c>
    </row>
    <row r="257" spans="1:11" x14ac:dyDescent="0.25">
      <c r="A257" s="20" t="s">
        <v>2580</v>
      </c>
      <c r="B257" s="21" t="s">
        <v>2469</v>
      </c>
      <c r="C257" s="21" t="s">
        <v>3195</v>
      </c>
      <c r="D257" s="21" t="s">
        <v>3196</v>
      </c>
      <c r="E257" s="21" t="s">
        <v>3197</v>
      </c>
      <c r="F257" s="21" t="s">
        <v>3198</v>
      </c>
      <c r="G257" s="21" t="s">
        <v>621</v>
      </c>
      <c r="H257" s="21" t="s">
        <v>621</v>
      </c>
      <c r="I257" s="21" t="s">
        <v>621</v>
      </c>
      <c r="J257" s="21" t="s">
        <v>621</v>
      </c>
      <c r="K257" s="21" t="s">
        <v>621</v>
      </c>
    </row>
    <row r="258" spans="1:11" x14ac:dyDescent="0.25">
      <c r="A258" s="20" t="s">
        <v>3199</v>
      </c>
      <c r="B258" s="21" t="s">
        <v>3200</v>
      </c>
      <c r="C258" s="21" t="s">
        <v>3201</v>
      </c>
      <c r="D258" s="21" t="s">
        <v>2888</v>
      </c>
      <c r="E258" s="21" t="s">
        <v>621</v>
      </c>
      <c r="F258" s="21" t="s">
        <v>621</v>
      </c>
      <c r="G258" s="21" t="s">
        <v>621</v>
      </c>
      <c r="H258" s="21" t="s">
        <v>621</v>
      </c>
      <c r="I258" s="21" t="s">
        <v>621</v>
      </c>
      <c r="J258" s="21" t="s">
        <v>621</v>
      </c>
      <c r="K258" s="21" t="s">
        <v>621</v>
      </c>
    </row>
    <row r="259" spans="1:11" x14ac:dyDescent="0.25">
      <c r="A259" s="20" t="s">
        <v>3202</v>
      </c>
      <c r="B259" s="21" t="s">
        <v>3203</v>
      </c>
      <c r="C259" s="21" t="s">
        <v>3204</v>
      </c>
      <c r="D259" s="21" t="s">
        <v>621</v>
      </c>
      <c r="E259" s="21" t="s">
        <v>621</v>
      </c>
      <c r="F259" s="21" t="s">
        <v>621</v>
      </c>
      <c r="G259" s="21" t="s">
        <v>621</v>
      </c>
      <c r="H259" s="21" t="s">
        <v>621</v>
      </c>
      <c r="I259" s="21" t="s">
        <v>621</v>
      </c>
      <c r="J259" s="21" t="s">
        <v>621</v>
      </c>
      <c r="K259" s="21" t="s">
        <v>621</v>
      </c>
    </row>
    <row r="260" spans="1:11" x14ac:dyDescent="0.25">
      <c r="A260" s="20" t="s">
        <v>2581</v>
      </c>
      <c r="B260" s="21" t="s">
        <v>2469</v>
      </c>
      <c r="C260" s="21" t="s">
        <v>3205</v>
      </c>
      <c r="D260" s="21" t="s">
        <v>3206</v>
      </c>
      <c r="E260" s="21" t="s">
        <v>621</v>
      </c>
      <c r="F260" s="21" t="s">
        <v>621</v>
      </c>
      <c r="G260" s="21" t="s">
        <v>621</v>
      </c>
      <c r="H260" s="21" t="s">
        <v>621</v>
      </c>
      <c r="I260" s="21" t="s">
        <v>621</v>
      </c>
      <c r="J260" s="21" t="s">
        <v>621</v>
      </c>
      <c r="K260" s="21" t="s">
        <v>621</v>
      </c>
    </row>
    <row r="261" spans="1:11" x14ac:dyDescent="0.25">
      <c r="A261" s="20" t="s">
        <v>3207</v>
      </c>
      <c r="B261" s="21" t="s">
        <v>3208</v>
      </c>
      <c r="C261" s="21" t="s">
        <v>621</v>
      </c>
      <c r="D261" s="21" t="s">
        <v>621</v>
      </c>
      <c r="E261" s="21" t="s">
        <v>621</v>
      </c>
      <c r="F261" s="21" t="s">
        <v>621</v>
      </c>
      <c r="G261" s="21" t="s">
        <v>621</v>
      </c>
      <c r="H261" s="21" t="s">
        <v>621</v>
      </c>
      <c r="I261" s="21" t="s">
        <v>621</v>
      </c>
      <c r="J261" s="21" t="s">
        <v>621</v>
      </c>
      <c r="K261" s="21" t="s">
        <v>621</v>
      </c>
    </row>
    <row r="262" spans="1:11" x14ac:dyDescent="0.25">
      <c r="A262" s="20" t="s">
        <v>3209</v>
      </c>
      <c r="B262" s="21" t="s">
        <v>3210</v>
      </c>
      <c r="C262" s="21" t="s">
        <v>621</v>
      </c>
      <c r="D262" s="21" t="s">
        <v>621</v>
      </c>
      <c r="E262" s="21" t="s">
        <v>621</v>
      </c>
      <c r="F262" s="21" t="s">
        <v>621</v>
      </c>
      <c r="G262" s="21" t="s">
        <v>621</v>
      </c>
      <c r="H262" s="21" t="s">
        <v>621</v>
      </c>
      <c r="I262" s="21" t="s">
        <v>621</v>
      </c>
      <c r="J262" s="21" t="s">
        <v>621</v>
      </c>
      <c r="K262" s="21" t="s">
        <v>621</v>
      </c>
    </row>
    <row r="263" spans="1:11" x14ac:dyDescent="0.25">
      <c r="A263" s="20" t="s">
        <v>3211</v>
      </c>
      <c r="B263" s="21" t="s">
        <v>3210</v>
      </c>
      <c r="C263" s="21" t="s">
        <v>621</v>
      </c>
      <c r="D263" s="21" t="s">
        <v>621</v>
      </c>
      <c r="E263" s="21" t="s">
        <v>621</v>
      </c>
      <c r="F263" s="21" t="s">
        <v>621</v>
      </c>
      <c r="G263" s="21" t="s">
        <v>621</v>
      </c>
      <c r="H263" s="21" t="s">
        <v>621</v>
      </c>
      <c r="I263" s="21" t="s">
        <v>621</v>
      </c>
      <c r="J263" s="21" t="s">
        <v>621</v>
      </c>
      <c r="K263" s="21" t="s">
        <v>621</v>
      </c>
    </row>
    <row r="264" spans="1:11" x14ac:dyDescent="0.25">
      <c r="A264" s="20" t="s">
        <v>3212</v>
      </c>
      <c r="B264" s="21" t="s">
        <v>3213</v>
      </c>
      <c r="C264" s="21" t="s">
        <v>621</v>
      </c>
      <c r="D264" s="21" t="s">
        <v>621</v>
      </c>
      <c r="E264" s="21" t="s">
        <v>621</v>
      </c>
      <c r="F264" s="21" t="s">
        <v>621</v>
      </c>
      <c r="G264" s="21" t="s">
        <v>621</v>
      </c>
      <c r="H264" s="21" t="s">
        <v>621</v>
      </c>
      <c r="I264" s="21" t="s">
        <v>621</v>
      </c>
      <c r="J264" s="21" t="s">
        <v>621</v>
      </c>
      <c r="K264" s="21" t="s">
        <v>621</v>
      </c>
    </row>
    <row r="265" spans="1:11" x14ac:dyDescent="0.25">
      <c r="A265" s="20" t="s">
        <v>2582</v>
      </c>
      <c r="B265" s="21" t="s">
        <v>2522</v>
      </c>
      <c r="C265" s="21" t="s">
        <v>3214</v>
      </c>
      <c r="D265" s="21" t="s">
        <v>3215</v>
      </c>
      <c r="E265" s="21" t="s">
        <v>621</v>
      </c>
      <c r="F265" s="21" t="s">
        <v>621</v>
      </c>
      <c r="G265" s="21" t="s">
        <v>621</v>
      </c>
      <c r="H265" s="21" t="s">
        <v>621</v>
      </c>
      <c r="I265" s="21" t="s">
        <v>621</v>
      </c>
      <c r="J265" s="21" t="s">
        <v>621</v>
      </c>
      <c r="K265" s="21" t="s">
        <v>621</v>
      </c>
    </row>
    <row r="266" spans="1:11" x14ac:dyDescent="0.25">
      <c r="A266" s="20" t="s">
        <v>3216</v>
      </c>
      <c r="B266" s="21" t="s">
        <v>3217</v>
      </c>
      <c r="C266" s="21" t="s">
        <v>3218</v>
      </c>
      <c r="D266" s="21" t="s">
        <v>3219</v>
      </c>
      <c r="E266" s="21" t="s">
        <v>3220</v>
      </c>
      <c r="F266" s="21" t="s">
        <v>621</v>
      </c>
      <c r="G266" s="21" t="s">
        <v>621</v>
      </c>
      <c r="H266" s="21" t="s">
        <v>621</v>
      </c>
      <c r="I266" s="21" t="s">
        <v>621</v>
      </c>
      <c r="J266" s="21" t="s">
        <v>621</v>
      </c>
      <c r="K266" s="21" t="s">
        <v>621</v>
      </c>
    </row>
    <row r="267" spans="1:11" x14ac:dyDescent="0.25">
      <c r="A267" s="20" t="s">
        <v>3221</v>
      </c>
      <c r="B267" s="21" t="s">
        <v>3222</v>
      </c>
      <c r="C267" s="21" t="s">
        <v>621</v>
      </c>
      <c r="D267" s="21" t="s">
        <v>621</v>
      </c>
      <c r="E267" s="21" t="s">
        <v>621</v>
      </c>
      <c r="F267" s="21" t="s">
        <v>621</v>
      </c>
      <c r="G267" s="21" t="s">
        <v>621</v>
      </c>
      <c r="H267" s="21" t="s">
        <v>621</v>
      </c>
      <c r="I267" s="21" t="s">
        <v>621</v>
      </c>
      <c r="J267" s="21" t="s">
        <v>621</v>
      </c>
      <c r="K267" s="21" t="s">
        <v>621</v>
      </c>
    </row>
    <row r="268" spans="1:11" x14ac:dyDescent="0.25">
      <c r="A268" s="20" t="s">
        <v>3223</v>
      </c>
      <c r="B268" s="21" t="s">
        <v>3224</v>
      </c>
      <c r="C268" s="21" t="s">
        <v>621</v>
      </c>
      <c r="D268" s="21" t="s">
        <v>621</v>
      </c>
      <c r="E268" s="21" t="s">
        <v>621</v>
      </c>
      <c r="F268" s="21" t="s">
        <v>621</v>
      </c>
      <c r="G268" s="21" t="s">
        <v>621</v>
      </c>
      <c r="H268" s="21" t="s">
        <v>621</v>
      </c>
      <c r="I268" s="21" t="s">
        <v>621</v>
      </c>
      <c r="J268" s="21" t="s">
        <v>621</v>
      </c>
      <c r="K268" s="21" t="s">
        <v>621</v>
      </c>
    </row>
    <row r="269" spans="1:11" x14ac:dyDescent="0.25">
      <c r="A269" s="20" t="s">
        <v>3225</v>
      </c>
      <c r="B269" s="21" t="s">
        <v>3226</v>
      </c>
      <c r="C269" s="21" t="s">
        <v>621</v>
      </c>
      <c r="D269" s="21" t="s">
        <v>621</v>
      </c>
      <c r="E269" s="21" t="s">
        <v>621</v>
      </c>
      <c r="F269" s="21" t="s">
        <v>621</v>
      </c>
      <c r="G269" s="21" t="s">
        <v>621</v>
      </c>
      <c r="H269" s="21" t="s">
        <v>621</v>
      </c>
      <c r="I269" s="21" t="s">
        <v>621</v>
      </c>
      <c r="J269" s="21" t="s">
        <v>621</v>
      </c>
      <c r="K269" s="21" t="s">
        <v>621</v>
      </c>
    </row>
    <row r="270" spans="1:11" x14ac:dyDescent="0.25">
      <c r="A270" s="20" t="s">
        <v>3227</v>
      </c>
      <c r="B270" s="21" t="s">
        <v>3228</v>
      </c>
      <c r="C270" s="21" t="s">
        <v>621</v>
      </c>
      <c r="D270" s="21" t="s">
        <v>621</v>
      </c>
      <c r="E270" s="21" t="s">
        <v>621</v>
      </c>
      <c r="F270" s="21" t="s">
        <v>621</v>
      </c>
      <c r="G270" s="21" t="s">
        <v>621</v>
      </c>
      <c r="H270" s="21" t="s">
        <v>621</v>
      </c>
      <c r="I270" s="21" t="s">
        <v>621</v>
      </c>
      <c r="J270" s="21" t="s">
        <v>621</v>
      </c>
      <c r="K270" s="21" t="s">
        <v>621</v>
      </c>
    </row>
    <row r="271" spans="1:11" x14ac:dyDescent="0.25">
      <c r="A271" s="20" t="s">
        <v>3229</v>
      </c>
      <c r="B271" s="21" t="s">
        <v>3230</v>
      </c>
      <c r="C271" s="21" t="s">
        <v>621</v>
      </c>
      <c r="D271" s="21" t="s">
        <v>621</v>
      </c>
      <c r="E271" s="21" t="s">
        <v>621</v>
      </c>
      <c r="F271" s="21" t="s">
        <v>621</v>
      </c>
      <c r="G271" s="21" t="s">
        <v>621</v>
      </c>
      <c r="H271" s="21" t="s">
        <v>621</v>
      </c>
      <c r="I271" s="21" t="s">
        <v>621</v>
      </c>
      <c r="J271" s="21" t="s">
        <v>621</v>
      </c>
      <c r="K271" s="21" t="s">
        <v>621</v>
      </c>
    </row>
    <row r="272" spans="1:11" x14ac:dyDescent="0.25">
      <c r="A272" s="20" t="s">
        <v>3231</v>
      </c>
      <c r="B272" s="21" t="s">
        <v>3232</v>
      </c>
      <c r="C272" s="21" t="s">
        <v>621</v>
      </c>
      <c r="D272" s="21" t="s">
        <v>621</v>
      </c>
      <c r="E272" s="21" t="s">
        <v>621</v>
      </c>
      <c r="F272" s="21" t="s">
        <v>621</v>
      </c>
      <c r="G272" s="21" t="s">
        <v>621</v>
      </c>
      <c r="H272" s="21" t="s">
        <v>621</v>
      </c>
      <c r="I272" s="21" t="s">
        <v>621</v>
      </c>
      <c r="J272" s="21" t="s">
        <v>621</v>
      </c>
      <c r="K272" s="21" t="s">
        <v>621</v>
      </c>
    </row>
    <row r="273" spans="1:11" x14ac:dyDescent="0.25">
      <c r="A273" s="20" t="s">
        <v>3233</v>
      </c>
      <c r="B273" s="21" t="s">
        <v>3234</v>
      </c>
      <c r="C273" s="21" t="s">
        <v>621</v>
      </c>
      <c r="D273" s="21" t="s">
        <v>621</v>
      </c>
      <c r="E273" s="21" t="s">
        <v>621</v>
      </c>
      <c r="F273" s="21" t="s">
        <v>621</v>
      </c>
      <c r="G273" s="21" t="s">
        <v>621</v>
      </c>
      <c r="H273" s="21" t="s">
        <v>621</v>
      </c>
      <c r="I273" s="21" t="s">
        <v>621</v>
      </c>
      <c r="J273" s="21" t="s">
        <v>621</v>
      </c>
      <c r="K273" s="21" t="s">
        <v>621</v>
      </c>
    </row>
    <row r="274" spans="1:11" x14ac:dyDescent="0.25">
      <c r="A274" s="20" t="s">
        <v>3235</v>
      </c>
      <c r="B274" s="21" t="s">
        <v>3236</v>
      </c>
      <c r="C274" s="21" t="s">
        <v>621</v>
      </c>
      <c r="D274" s="21" t="s">
        <v>621</v>
      </c>
      <c r="E274" s="21" t="s">
        <v>621</v>
      </c>
      <c r="F274" s="21" t="s">
        <v>621</v>
      </c>
      <c r="G274" s="21" t="s">
        <v>621</v>
      </c>
      <c r="H274" s="21" t="s">
        <v>621</v>
      </c>
      <c r="I274" s="21" t="s">
        <v>621</v>
      </c>
      <c r="J274" s="21" t="s">
        <v>621</v>
      </c>
      <c r="K274" s="21" t="s">
        <v>621</v>
      </c>
    </row>
    <row r="275" spans="1:11" x14ac:dyDescent="0.25">
      <c r="A275" s="20" t="s">
        <v>3237</v>
      </c>
      <c r="B275" s="21" t="s">
        <v>3238</v>
      </c>
      <c r="C275" s="21" t="s">
        <v>621</v>
      </c>
      <c r="D275" s="21" t="s">
        <v>621</v>
      </c>
      <c r="E275" s="21" t="s">
        <v>621</v>
      </c>
      <c r="F275" s="21" t="s">
        <v>621</v>
      </c>
      <c r="G275" s="21" t="s">
        <v>621</v>
      </c>
      <c r="H275" s="21" t="s">
        <v>621</v>
      </c>
      <c r="I275" s="21" t="s">
        <v>621</v>
      </c>
      <c r="J275" s="21" t="s">
        <v>621</v>
      </c>
      <c r="K275" s="21" t="s">
        <v>621</v>
      </c>
    </row>
    <row r="276" spans="1:11" x14ac:dyDescent="0.25">
      <c r="A276" s="20" t="s">
        <v>2583</v>
      </c>
      <c r="B276" s="21" t="s">
        <v>2584</v>
      </c>
      <c r="C276" s="21" t="s">
        <v>2585</v>
      </c>
      <c r="D276" s="21" t="s">
        <v>2586</v>
      </c>
      <c r="E276" s="21" t="s">
        <v>2587</v>
      </c>
      <c r="F276" s="21" t="s">
        <v>2588</v>
      </c>
      <c r="G276" s="21" t="s">
        <v>2589</v>
      </c>
      <c r="H276" s="21" t="s">
        <v>621</v>
      </c>
      <c r="I276" s="21" t="s">
        <v>621</v>
      </c>
      <c r="J276" s="21" t="s">
        <v>621</v>
      </c>
      <c r="K276" s="21" t="s">
        <v>621</v>
      </c>
    </row>
    <row r="277" spans="1:11" x14ac:dyDescent="0.25">
      <c r="A277" s="20" t="s">
        <v>3239</v>
      </c>
      <c r="B277" s="21" t="s">
        <v>3240</v>
      </c>
      <c r="C277" s="21" t="s">
        <v>621</v>
      </c>
      <c r="D277" s="21" t="s">
        <v>621</v>
      </c>
      <c r="E277" s="21" t="s">
        <v>621</v>
      </c>
      <c r="F277" s="21" t="s">
        <v>621</v>
      </c>
      <c r="G277" s="21" t="s">
        <v>621</v>
      </c>
      <c r="H277" s="21" t="s">
        <v>621</v>
      </c>
      <c r="I277" s="21" t="s">
        <v>621</v>
      </c>
      <c r="J277" s="21" t="s">
        <v>621</v>
      </c>
      <c r="K277" s="21" t="s">
        <v>621</v>
      </c>
    </row>
    <row r="278" spans="1:11" x14ac:dyDescent="0.25">
      <c r="A278" s="20" t="s">
        <v>3241</v>
      </c>
      <c r="B278" s="21" t="s">
        <v>3242</v>
      </c>
      <c r="C278" s="21" t="s">
        <v>621</v>
      </c>
      <c r="D278" s="21" t="s">
        <v>621</v>
      </c>
      <c r="E278" s="21" t="s">
        <v>621</v>
      </c>
      <c r="F278" s="21" t="s">
        <v>621</v>
      </c>
      <c r="G278" s="21" t="s">
        <v>621</v>
      </c>
      <c r="H278" s="21" t="s">
        <v>621</v>
      </c>
      <c r="I278" s="21" t="s">
        <v>621</v>
      </c>
      <c r="J278" s="21" t="s">
        <v>621</v>
      </c>
      <c r="K278" s="21" t="s">
        <v>621</v>
      </c>
    </row>
    <row r="279" spans="1:11" x14ac:dyDescent="0.25">
      <c r="A279" s="20" t="s">
        <v>2590</v>
      </c>
      <c r="B279" s="21" t="s">
        <v>2591</v>
      </c>
      <c r="C279" s="21" t="s">
        <v>2592</v>
      </c>
      <c r="D279" s="21" t="s">
        <v>3243</v>
      </c>
      <c r="E279" s="21" t="s">
        <v>2821</v>
      </c>
      <c r="F279" s="21" t="s">
        <v>621</v>
      </c>
      <c r="G279" s="21" t="s">
        <v>621</v>
      </c>
      <c r="H279" s="21" t="s">
        <v>621</v>
      </c>
      <c r="I279" s="21" t="s">
        <v>621</v>
      </c>
      <c r="J279" s="21" t="s">
        <v>621</v>
      </c>
      <c r="K279" s="21" t="s">
        <v>621</v>
      </c>
    </row>
    <row r="280" spans="1:11" x14ac:dyDescent="0.25">
      <c r="A280" s="20" t="s">
        <v>3244</v>
      </c>
      <c r="B280" s="21" t="s">
        <v>3245</v>
      </c>
      <c r="C280" s="21" t="s">
        <v>621</v>
      </c>
      <c r="D280" s="21" t="s">
        <v>621</v>
      </c>
      <c r="E280" s="21" t="s">
        <v>621</v>
      </c>
      <c r="F280" s="21" t="s">
        <v>621</v>
      </c>
      <c r="G280" s="21" t="s">
        <v>621</v>
      </c>
      <c r="H280" s="21" t="s">
        <v>621</v>
      </c>
      <c r="I280" s="21" t="s">
        <v>621</v>
      </c>
      <c r="J280" s="21" t="s">
        <v>621</v>
      </c>
      <c r="K280" s="21" t="s">
        <v>621</v>
      </c>
    </row>
    <row r="281" spans="1:11" x14ac:dyDescent="0.25">
      <c r="A281" s="20" t="s">
        <v>3246</v>
      </c>
      <c r="B281" s="21" t="s">
        <v>3247</v>
      </c>
      <c r="C281" s="21" t="s">
        <v>2752</v>
      </c>
      <c r="D281" s="21" t="s">
        <v>621</v>
      </c>
      <c r="E281" s="21" t="s">
        <v>621</v>
      </c>
      <c r="F281" s="21" t="s">
        <v>621</v>
      </c>
      <c r="G281" s="21" t="s">
        <v>621</v>
      </c>
      <c r="H281" s="21" t="s">
        <v>621</v>
      </c>
      <c r="I281" s="21" t="s">
        <v>621</v>
      </c>
      <c r="J281" s="21" t="s">
        <v>621</v>
      </c>
      <c r="K281" s="21" t="s">
        <v>621</v>
      </c>
    </row>
    <row r="282" spans="1:11" x14ac:dyDescent="0.25">
      <c r="A282" s="20" t="s">
        <v>3248</v>
      </c>
      <c r="B282" s="21" t="s">
        <v>3249</v>
      </c>
      <c r="C282" s="21" t="s">
        <v>2752</v>
      </c>
      <c r="D282" s="21" t="s">
        <v>621</v>
      </c>
      <c r="E282" s="21" t="s">
        <v>621</v>
      </c>
      <c r="F282" s="21" t="s">
        <v>621</v>
      </c>
      <c r="G282" s="21" t="s">
        <v>621</v>
      </c>
      <c r="H282" s="21" t="s">
        <v>621</v>
      </c>
      <c r="I282" s="21" t="s">
        <v>621</v>
      </c>
      <c r="J282" s="21" t="s">
        <v>621</v>
      </c>
      <c r="K282" s="21" t="s">
        <v>621</v>
      </c>
    </row>
    <row r="283" spans="1:11" x14ac:dyDescent="0.25">
      <c r="A283" s="20" t="s">
        <v>3250</v>
      </c>
      <c r="B283" s="21" t="s">
        <v>3251</v>
      </c>
      <c r="C283" s="21" t="s">
        <v>621</v>
      </c>
      <c r="D283" s="21" t="s">
        <v>621</v>
      </c>
      <c r="E283" s="21" t="s">
        <v>621</v>
      </c>
      <c r="F283" s="21" t="s">
        <v>621</v>
      </c>
      <c r="G283" s="21" t="s">
        <v>621</v>
      </c>
      <c r="H283" s="21" t="s">
        <v>621</v>
      </c>
      <c r="I283" s="21" t="s">
        <v>621</v>
      </c>
      <c r="J283" s="21" t="s">
        <v>621</v>
      </c>
      <c r="K283" s="21" t="s">
        <v>621</v>
      </c>
    </row>
    <row r="284" spans="1:11" x14ac:dyDescent="0.25">
      <c r="A284" s="20" t="s">
        <v>3252</v>
      </c>
      <c r="B284" s="21" t="s">
        <v>3253</v>
      </c>
      <c r="C284" s="21" t="s">
        <v>621</v>
      </c>
      <c r="D284" s="21" t="s">
        <v>621</v>
      </c>
      <c r="E284" s="21" t="s">
        <v>621</v>
      </c>
      <c r="F284" s="21" t="s">
        <v>621</v>
      </c>
      <c r="G284" s="21" t="s">
        <v>621</v>
      </c>
      <c r="H284" s="21" t="s">
        <v>621</v>
      </c>
      <c r="I284" s="21" t="s">
        <v>621</v>
      </c>
      <c r="J284" s="21" t="s">
        <v>621</v>
      </c>
      <c r="K284" s="21" t="s">
        <v>621</v>
      </c>
    </row>
    <row r="285" spans="1:11" x14ac:dyDescent="0.25">
      <c r="A285" s="20" t="s">
        <v>2593</v>
      </c>
      <c r="B285" s="21" t="s">
        <v>2444</v>
      </c>
      <c r="C285" s="21" t="s">
        <v>621</v>
      </c>
      <c r="D285" s="21" t="s">
        <v>621</v>
      </c>
      <c r="E285" s="21" t="s">
        <v>621</v>
      </c>
      <c r="F285" s="21" t="s">
        <v>621</v>
      </c>
      <c r="G285" s="21" t="s">
        <v>621</v>
      </c>
      <c r="H285" s="21" t="s">
        <v>621</v>
      </c>
      <c r="I285" s="21" t="s">
        <v>621</v>
      </c>
      <c r="J285" s="21" t="s">
        <v>621</v>
      </c>
      <c r="K285" s="21" t="s">
        <v>621</v>
      </c>
    </row>
    <row r="286" spans="1:11" x14ac:dyDescent="0.25">
      <c r="A286" s="20" t="s">
        <v>3254</v>
      </c>
      <c r="B286" s="21" t="s">
        <v>3255</v>
      </c>
      <c r="C286" s="21" t="s">
        <v>3256</v>
      </c>
      <c r="D286" s="21" t="s">
        <v>621</v>
      </c>
      <c r="E286" s="21" t="s">
        <v>621</v>
      </c>
      <c r="F286" s="21" t="s">
        <v>621</v>
      </c>
      <c r="G286" s="21" t="s">
        <v>621</v>
      </c>
      <c r="H286" s="21" t="s">
        <v>621</v>
      </c>
      <c r="I286" s="21" t="s">
        <v>621</v>
      </c>
      <c r="J286" s="21" t="s">
        <v>621</v>
      </c>
      <c r="K286" s="21" t="s">
        <v>621</v>
      </c>
    </row>
    <row r="287" spans="1:11" x14ac:dyDescent="0.25">
      <c r="A287" s="20" t="s">
        <v>3257</v>
      </c>
      <c r="B287" s="21" t="s">
        <v>3255</v>
      </c>
      <c r="C287" s="21" t="s">
        <v>3256</v>
      </c>
      <c r="D287" s="21" t="s">
        <v>621</v>
      </c>
      <c r="E287" s="21" t="s">
        <v>621</v>
      </c>
      <c r="F287" s="21" t="s">
        <v>621</v>
      </c>
      <c r="G287" s="21" t="s">
        <v>621</v>
      </c>
      <c r="H287" s="21" t="s">
        <v>621</v>
      </c>
      <c r="I287" s="21" t="s">
        <v>621</v>
      </c>
      <c r="J287" s="21" t="s">
        <v>621</v>
      </c>
      <c r="K287" s="21" t="s">
        <v>621</v>
      </c>
    </row>
    <row r="288" spans="1:11" x14ac:dyDescent="0.25">
      <c r="A288" s="20" t="s">
        <v>3258</v>
      </c>
      <c r="B288" s="21" t="s">
        <v>3259</v>
      </c>
      <c r="C288" s="21" t="s">
        <v>3260</v>
      </c>
      <c r="D288" s="21" t="s">
        <v>621</v>
      </c>
      <c r="E288" s="21" t="s">
        <v>621</v>
      </c>
      <c r="F288" s="21" t="s">
        <v>621</v>
      </c>
      <c r="G288" s="21" t="s">
        <v>621</v>
      </c>
      <c r="H288" s="21" t="s">
        <v>621</v>
      </c>
      <c r="I288" s="21" t="s">
        <v>621</v>
      </c>
      <c r="J288" s="21" t="s">
        <v>621</v>
      </c>
      <c r="K288" s="21" t="s">
        <v>621</v>
      </c>
    </row>
    <row r="289" spans="1:11" x14ac:dyDescent="0.25">
      <c r="A289" s="20" t="s">
        <v>3261</v>
      </c>
      <c r="B289" s="21" t="s">
        <v>3262</v>
      </c>
      <c r="C289" s="21" t="s">
        <v>621</v>
      </c>
      <c r="D289" s="21" t="s">
        <v>621</v>
      </c>
      <c r="E289" s="21" t="s">
        <v>621</v>
      </c>
      <c r="F289" s="21" t="s">
        <v>621</v>
      </c>
      <c r="G289" s="21" t="s">
        <v>621</v>
      </c>
      <c r="H289" s="21" t="s">
        <v>621</v>
      </c>
      <c r="I289" s="21" t="s">
        <v>621</v>
      </c>
      <c r="J289" s="21" t="s">
        <v>621</v>
      </c>
      <c r="K289" s="21" t="s">
        <v>621</v>
      </c>
    </row>
    <row r="290" spans="1:11" x14ac:dyDescent="0.25">
      <c r="A290" s="20" t="s">
        <v>3263</v>
      </c>
      <c r="B290" s="21" t="s">
        <v>3264</v>
      </c>
      <c r="C290" s="21" t="s">
        <v>621</v>
      </c>
      <c r="D290" s="21" t="s">
        <v>621</v>
      </c>
      <c r="E290" s="21" t="s">
        <v>621</v>
      </c>
      <c r="F290" s="21" t="s">
        <v>621</v>
      </c>
      <c r="G290" s="21" t="s">
        <v>621</v>
      </c>
      <c r="H290" s="21" t="s">
        <v>621</v>
      </c>
      <c r="I290" s="21" t="s">
        <v>621</v>
      </c>
      <c r="J290" s="21" t="s">
        <v>621</v>
      </c>
      <c r="K290" s="21" t="s">
        <v>621</v>
      </c>
    </row>
    <row r="291" spans="1:11" x14ac:dyDescent="0.25">
      <c r="A291" s="20" t="s">
        <v>3265</v>
      </c>
      <c r="B291" s="21" t="s">
        <v>3264</v>
      </c>
      <c r="C291" s="21" t="s">
        <v>621</v>
      </c>
      <c r="D291" s="21" t="s">
        <v>621</v>
      </c>
      <c r="E291" s="21" t="s">
        <v>621</v>
      </c>
      <c r="F291" s="21" t="s">
        <v>621</v>
      </c>
      <c r="G291" s="21" t="s">
        <v>621</v>
      </c>
      <c r="H291" s="21" t="s">
        <v>621</v>
      </c>
      <c r="I291" s="21" t="s">
        <v>621</v>
      </c>
      <c r="J291" s="21" t="s">
        <v>621</v>
      </c>
      <c r="K291" s="21" t="s">
        <v>621</v>
      </c>
    </row>
    <row r="292" spans="1:11" x14ac:dyDescent="0.25">
      <c r="A292" s="20" t="s">
        <v>3266</v>
      </c>
      <c r="B292" s="21" t="s">
        <v>3267</v>
      </c>
      <c r="C292" s="21" t="s">
        <v>621</v>
      </c>
      <c r="D292" s="21" t="s">
        <v>621</v>
      </c>
      <c r="E292" s="21" t="s">
        <v>621</v>
      </c>
      <c r="F292" s="21" t="s">
        <v>621</v>
      </c>
      <c r="G292" s="21" t="s">
        <v>621</v>
      </c>
      <c r="H292" s="21" t="s">
        <v>621</v>
      </c>
      <c r="I292" s="21" t="s">
        <v>621</v>
      </c>
      <c r="J292" s="21" t="s">
        <v>621</v>
      </c>
      <c r="K292" s="21" t="s">
        <v>621</v>
      </c>
    </row>
    <row r="293" spans="1:11" x14ac:dyDescent="0.25">
      <c r="A293" s="20" t="s">
        <v>3268</v>
      </c>
      <c r="B293" s="21" t="s">
        <v>3269</v>
      </c>
      <c r="C293" s="21" t="s">
        <v>621</v>
      </c>
      <c r="D293" s="21" t="s">
        <v>621</v>
      </c>
      <c r="E293" s="21" t="s">
        <v>621</v>
      </c>
      <c r="F293" s="21" t="s">
        <v>621</v>
      </c>
      <c r="G293" s="21" t="s">
        <v>621</v>
      </c>
      <c r="H293" s="21" t="s">
        <v>621</v>
      </c>
      <c r="I293" s="21" t="s">
        <v>621</v>
      </c>
      <c r="J293" s="21" t="s">
        <v>621</v>
      </c>
      <c r="K293" s="21" t="s">
        <v>621</v>
      </c>
    </row>
    <row r="294" spans="1:11" x14ac:dyDescent="0.25">
      <c r="A294" s="20" t="s">
        <v>3270</v>
      </c>
      <c r="B294" s="21" t="s">
        <v>3271</v>
      </c>
      <c r="C294" s="21" t="s">
        <v>3132</v>
      </c>
      <c r="D294" s="21" t="s">
        <v>621</v>
      </c>
      <c r="E294" s="21" t="s">
        <v>621</v>
      </c>
      <c r="F294" s="21" t="s">
        <v>621</v>
      </c>
      <c r="G294" s="21" t="s">
        <v>621</v>
      </c>
      <c r="H294" s="21" t="s">
        <v>621</v>
      </c>
      <c r="I294" s="21" t="s">
        <v>621</v>
      </c>
      <c r="J294" s="21" t="s">
        <v>621</v>
      </c>
      <c r="K294" s="21" t="s">
        <v>621</v>
      </c>
    </row>
    <row r="295" spans="1:11" x14ac:dyDescent="0.25">
      <c r="A295" s="20" t="s">
        <v>3272</v>
      </c>
      <c r="B295" s="21" t="s">
        <v>3273</v>
      </c>
      <c r="C295" s="21" t="s">
        <v>621</v>
      </c>
      <c r="D295" s="21" t="s">
        <v>621</v>
      </c>
      <c r="E295" s="21" t="s">
        <v>621</v>
      </c>
      <c r="F295" s="21" t="s">
        <v>621</v>
      </c>
      <c r="G295" s="21" t="s">
        <v>621</v>
      </c>
      <c r="H295" s="21" t="s">
        <v>621</v>
      </c>
      <c r="I295" s="21" t="s">
        <v>621</v>
      </c>
      <c r="J295" s="21" t="s">
        <v>621</v>
      </c>
      <c r="K295" s="21" t="s">
        <v>621</v>
      </c>
    </row>
    <row r="296" spans="1:11" x14ac:dyDescent="0.25">
      <c r="A296" s="20" t="s">
        <v>3274</v>
      </c>
      <c r="B296" s="21" t="s">
        <v>3275</v>
      </c>
      <c r="C296" s="21" t="s">
        <v>621</v>
      </c>
      <c r="D296" s="21" t="s">
        <v>621</v>
      </c>
      <c r="E296" s="21" t="s">
        <v>621</v>
      </c>
      <c r="F296" s="21" t="s">
        <v>621</v>
      </c>
      <c r="G296" s="21" t="s">
        <v>621</v>
      </c>
      <c r="H296" s="21" t="s">
        <v>621</v>
      </c>
      <c r="I296" s="21" t="s">
        <v>621</v>
      </c>
      <c r="J296" s="21" t="s">
        <v>621</v>
      </c>
      <c r="K296" s="21" t="s">
        <v>621</v>
      </c>
    </row>
    <row r="297" spans="1:11" x14ac:dyDescent="0.25">
      <c r="A297" s="20" t="s">
        <v>3276</v>
      </c>
      <c r="B297" s="21" t="s">
        <v>3277</v>
      </c>
      <c r="C297" s="21" t="s">
        <v>3130</v>
      </c>
      <c r="D297" s="21" t="s">
        <v>621</v>
      </c>
      <c r="E297" s="21" t="s">
        <v>621</v>
      </c>
      <c r="F297" s="21" t="s">
        <v>621</v>
      </c>
      <c r="G297" s="21" t="s">
        <v>621</v>
      </c>
      <c r="H297" s="21" t="s">
        <v>621</v>
      </c>
      <c r="I297" s="21" t="s">
        <v>621</v>
      </c>
      <c r="J297" s="21" t="s">
        <v>621</v>
      </c>
      <c r="K297" s="21" t="s">
        <v>621</v>
      </c>
    </row>
    <row r="298" spans="1:11" x14ac:dyDescent="0.25">
      <c r="A298" s="20" t="s">
        <v>3278</v>
      </c>
      <c r="B298" s="21" t="s">
        <v>3279</v>
      </c>
      <c r="C298" s="21" t="s">
        <v>621</v>
      </c>
      <c r="D298" s="21" t="s">
        <v>621</v>
      </c>
      <c r="E298" s="21" t="s">
        <v>621</v>
      </c>
      <c r="F298" s="21" t="s">
        <v>621</v>
      </c>
      <c r="G298" s="21" t="s">
        <v>621</v>
      </c>
      <c r="H298" s="21" t="s">
        <v>621</v>
      </c>
      <c r="I298" s="21" t="s">
        <v>621</v>
      </c>
      <c r="J298" s="21" t="s">
        <v>621</v>
      </c>
      <c r="K298" s="21" t="s">
        <v>621</v>
      </c>
    </row>
    <row r="299" spans="1:11" x14ac:dyDescent="0.25">
      <c r="A299" s="20" t="s">
        <v>3280</v>
      </c>
      <c r="B299" s="21" t="s">
        <v>3281</v>
      </c>
      <c r="C299" s="21" t="s">
        <v>621</v>
      </c>
      <c r="D299" s="21" t="s">
        <v>621</v>
      </c>
      <c r="E299" s="21" t="s">
        <v>621</v>
      </c>
      <c r="F299" s="21" t="s">
        <v>621</v>
      </c>
      <c r="G299" s="21" t="s">
        <v>621</v>
      </c>
      <c r="H299" s="21" t="s">
        <v>621</v>
      </c>
      <c r="I299" s="21" t="s">
        <v>621</v>
      </c>
      <c r="J299" s="21" t="s">
        <v>621</v>
      </c>
      <c r="K299" s="21" t="s">
        <v>621</v>
      </c>
    </row>
    <row r="300" spans="1:11" x14ac:dyDescent="0.25">
      <c r="A300" s="20" t="s">
        <v>3282</v>
      </c>
      <c r="B300" s="21" t="s">
        <v>3279</v>
      </c>
      <c r="C300" s="21" t="s">
        <v>621</v>
      </c>
      <c r="D300" s="21" t="s">
        <v>621</v>
      </c>
      <c r="E300" s="21" t="s">
        <v>621</v>
      </c>
      <c r="F300" s="21" t="s">
        <v>621</v>
      </c>
      <c r="G300" s="21" t="s">
        <v>621</v>
      </c>
      <c r="H300" s="21" t="s">
        <v>621</v>
      </c>
      <c r="I300" s="21" t="s">
        <v>621</v>
      </c>
      <c r="J300" s="21" t="s">
        <v>621</v>
      </c>
      <c r="K300" s="21" t="s">
        <v>621</v>
      </c>
    </row>
    <row r="301" spans="1:11" x14ac:dyDescent="0.25">
      <c r="A301" s="20" t="s">
        <v>3283</v>
      </c>
      <c r="B301" s="21" t="s">
        <v>3284</v>
      </c>
      <c r="C301" s="21" t="s">
        <v>621</v>
      </c>
      <c r="D301" s="21" t="s">
        <v>621</v>
      </c>
      <c r="E301" s="21" t="s">
        <v>621</v>
      </c>
      <c r="F301" s="21" t="s">
        <v>621</v>
      </c>
      <c r="G301" s="21" t="s">
        <v>621</v>
      </c>
      <c r="H301" s="21" t="s">
        <v>621</v>
      </c>
      <c r="I301" s="21" t="s">
        <v>621</v>
      </c>
      <c r="J301" s="21" t="s">
        <v>621</v>
      </c>
      <c r="K301" s="21" t="s">
        <v>621</v>
      </c>
    </row>
    <row r="302" spans="1:11" x14ac:dyDescent="0.25">
      <c r="A302" s="20" t="s">
        <v>3285</v>
      </c>
      <c r="B302" s="21" t="s">
        <v>3286</v>
      </c>
      <c r="C302" s="21" t="s">
        <v>621</v>
      </c>
      <c r="D302" s="21" t="s">
        <v>621</v>
      </c>
      <c r="E302" s="21" t="s">
        <v>621</v>
      </c>
      <c r="F302" s="21" t="s">
        <v>621</v>
      </c>
      <c r="G302" s="21" t="s">
        <v>621</v>
      </c>
      <c r="H302" s="21" t="s">
        <v>621</v>
      </c>
      <c r="I302" s="21" t="s">
        <v>621</v>
      </c>
      <c r="J302" s="21" t="s">
        <v>621</v>
      </c>
      <c r="K302" s="21" t="s">
        <v>621</v>
      </c>
    </row>
    <row r="303" spans="1:11" x14ac:dyDescent="0.25">
      <c r="A303" s="20" t="s">
        <v>3287</v>
      </c>
      <c r="B303" s="21" t="s">
        <v>3288</v>
      </c>
      <c r="C303" s="21" t="s">
        <v>621</v>
      </c>
      <c r="D303" s="21" t="s">
        <v>621</v>
      </c>
      <c r="E303" s="21" t="s">
        <v>621</v>
      </c>
      <c r="F303" s="21" t="s">
        <v>621</v>
      </c>
      <c r="G303" s="21" t="s">
        <v>621</v>
      </c>
      <c r="H303" s="21" t="s">
        <v>621</v>
      </c>
      <c r="I303" s="21" t="s">
        <v>621</v>
      </c>
      <c r="J303" s="21" t="s">
        <v>621</v>
      </c>
      <c r="K303" s="21" t="s">
        <v>621</v>
      </c>
    </row>
    <row r="304" spans="1:11" x14ac:dyDescent="0.25">
      <c r="A304" s="20" t="s">
        <v>2594</v>
      </c>
      <c r="B304" s="21" t="s">
        <v>2595</v>
      </c>
      <c r="C304" s="21" t="s">
        <v>2444</v>
      </c>
      <c r="D304" s="21" t="s">
        <v>3289</v>
      </c>
      <c r="E304" s="21" t="s">
        <v>3290</v>
      </c>
      <c r="F304" s="21" t="s">
        <v>621</v>
      </c>
      <c r="G304" s="21" t="s">
        <v>621</v>
      </c>
      <c r="H304" s="21" t="s">
        <v>621</v>
      </c>
      <c r="I304" s="21" t="s">
        <v>621</v>
      </c>
      <c r="J304" s="21" t="s">
        <v>621</v>
      </c>
      <c r="K304" s="21" t="s">
        <v>621</v>
      </c>
    </row>
    <row r="305" spans="1:11" x14ac:dyDescent="0.25">
      <c r="A305" s="20" t="s">
        <v>2596</v>
      </c>
      <c r="B305" s="21" t="s">
        <v>2444</v>
      </c>
      <c r="C305" s="21" t="s">
        <v>2597</v>
      </c>
      <c r="D305" s="21" t="s">
        <v>3291</v>
      </c>
      <c r="E305" s="21" t="s">
        <v>3292</v>
      </c>
      <c r="F305" s="21" t="s">
        <v>621</v>
      </c>
      <c r="G305" s="21" t="s">
        <v>621</v>
      </c>
      <c r="H305" s="21" t="s">
        <v>621</v>
      </c>
      <c r="I305" s="21" t="s">
        <v>621</v>
      </c>
      <c r="J305" s="21" t="s">
        <v>621</v>
      </c>
      <c r="K305" s="21" t="s">
        <v>621</v>
      </c>
    </row>
    <row r="306" spans="1:11" x14ac:dyDescent="0.25">
      <c r="A306" s="20" t="s">
        <v>2598</v>
      </c>
      <c r="B306" s="21" t="s">
        <v>2597</v>
      </c>
      <c r="C306" s="21" t="s">
        <v>621</v>
      </c>
      <c r="D306" s="21" t="s">
        <v>621</v>
      </c>
      <c r="E306" s="21" t="s">
        <v>621</v>
      </c>
      <c r="F306" s="21" t="s">
        <v>621</v>
      </c>
      <c r="G306" s="21" t="s">
        <v>621</v>
      </c>
      <c r="H306" s="21" t="s">
        <v>621</v>
      </c>
      <c r="I306" s="21" t="s">
        <v>621</v>
      </c>
      <c r="J306" s="21" t="s">
        <v>621</v>
      </c>
      <c r="K306" s="21" t="s">
        <v>621</v>
      </c>
    </row>
    <row r="307" spans="1:11" x14ac:dyDescent="0.25">
      <c r="A307" s="20" t="s">
        <v>2599</v>
      </c>
      <c r="B307" s="21" t="s">
        <v>2600</v>
      </c>
      <c r="C307" s="21" t="s">
        <v>3293</v>
      </c>
      <c r="D307" s="21" t="s">
        <v>3294</v>
      </c>
      <c r="E307" s="21" t="s">
        <v>621</v>
      </c>
      <c r="F307" s="21" t="s">
        <v>621</v>
      </c>
      <c r="G307" s="21" t="s">
        <v>621</v>
      </c>
      <c r="H307" s="21" t="s">
        <v>621</v>
      </c>
      <c r="I307" s="21" t="s">
        <v>621</v>
      </c>
      <c r="J307" s="21" t="s">
        <v>621</v>
      </c>
      <c r="K307" s="21" t="s">
        <v>621</v>
      </c>
    </row>
    <row r="308" spans="1:11" x14ac:dyDescent="0.25">
      <c r="A308" s="20" t="s">
        <v>3295</v>
      </c>
      <c r="B308" s="21" t="s">
        <v>2758</v>
      </c>
      <c r="C308" s="21" t="s">
        <v>2759</v>
      </c>
      <c r="D308" s="21" t="s">
        <v>2760</v>
      </c>
      <c r="E308" s="21" t="s">
        <v>2761</v>
      </c>
      <c r="F308" s="21" t="s">
        <v>2757</v>
      </c>
      <c r="G308" s="21" t="s">
        <v>621</v>
      </c>
      <c r="H308" s="21" t="s">
        <v>621</v>
      </c>
      <c r="I308" s="21" t="s">
        <v>621</v>
      </c>
      <c r="J308" s="21" t="s">
        <v>621</v>
      </c>
      <c r="K308" s="21" t="s">
        <v>621</v>
      </c>
    </row>
    <row r="309" spans="1:11" x14ac:dyDescent="0.25">
      <c r="A309" s="20" t="s">
        <v>2601</v>
      </c>
      <c r="B309" s="21" t="s">
        <v>2460</v>
      </c>
      <c r="C309" s="21" t="s">
        <v>621</v>
      </c>
      <c r="D309" s="21" t="s">
        <v>621</v>
      </c>
      <c r="E309" s="21" t="s">
        <v>621</v>
      </c>
      <c r="F309" s="21" t="s">
        <v>621</v>
      </c>
      <c r="G309" s="21" t="s">
        <v>621</v>
      </c>
      <c r="H309" s="21" t="s">
        <v>621</v>
      </c>
      <c r="I309" s="21" t="s">
        <v>621</v>
      </c>
      <c r="J309" s="21" t="s">
        <v>621</v>
      </c>
      <c r="K309" s="21" t="s">
        <v>621</v>
      </c>
    </row>
    <row r="310" spans="1:11" x14ac:dyDescent="0.25">
      <c r="A310" s="20" t="s">
        <v>3296</v>
      </c>
      <c r="B310" s="21" t="s">
        <v>2866</v>
      </c>
      <c r="C310" s="21" t="s">
        <v>2867</v>
      </c>
      <c r="D310" s="21" t="s">
        <v>2868</v>
      </c>
      <c r="E310" s="21" t="s">
        <v>2869</v>
      </c>
      <c r="F310" s="21" t="s">
        <v>2870</v>
      </c>
      <c r="G310" s="21" t="s">
        <v>621</v>
      </c>
      <c r="H310" s="21" t="s">
        <v>621</v>
      </c>
      <c r="I310" s="21" t="s">
        <v>621</v>
      </c>
      <c r="J310" s="21" t="s">
        <v>621</v>
      </c>
      <c r="K310" s="21" t="s">
        <v>621</v>
      </c>
    </row>
    <row r="311" spans="1:11" x14ac:dyDescent="0.25">
      <c r="A311" s="20" t="s">
        <v>2602</v>
      </c>
      <c r="B311" s="21" t="s">
        <v>2462</v>
      </c>
      <c r="C311" s="21" t="s">
        <v>621</v>
      </c>
      <c r="D311" s="21" t="s">
        <v>621</v>
      </c>
      <c r="E311" s="21" t="s">
        <v>621</v>
      </c>
      <c r="F311" s="21" t="s">
        <v>621</v>
      </c>
      <c r="G311" s="21" t="s">
        <v>621</v>
      </c>
      <c r="H311" s="21" t="s">
        <v>621</v>
      </c>
      <c r="I311" s="21" t="s">
        <v>621</v>
      </c>
      <c r="J311" s="21" t="s">
        <v>621</v>
      </c>
      <c r="K311" s="21" t="s">
        <v>621</v>
      </c>
    </row>
    <row r="312" spans="1:11" x14ac:dyDescent="0.25">
      <c r="A312" s="20" t="s">
        <v>3297</v>
      </c>
      <c r="B312" s="21" t="s">
        <v>2759</v>
      </c>
      <c r="C312" s="21" t="s">
        <v>2760</v>
      </c>
      <c r="D312" s="21" t="s">
        <v>2761</v>
      </c>
      <c r="E312" s="21" t="s">
        <v>2757</v>
      </c>
      <c r="F312" s="21" t="s">
        <v>2758</v>
      </c>
      <c r="G312" s="21" t="s">
        <v>621</v>
      </c>
      <c r="H312" s="21" t="s">
        <v>621</v>
      </c>
      <c r="I312" s="21" t="s">
        <v>621</v>
      </c>
      <c r="J312" s="21" t="s">
        <v>621</v>
      </c>
      <c r="K312" s="21" t="s">
        <v>621</v>
      </c>
    </row>
    <row r="313" spans="1:11" x14ac:dyDescent="0.25">
      <c r="A313" s="20" t="s">
        <v>3298</v>
      </c>
      <c r="B313" s="21" t="s">
        <v>3299</v>
      </c>
      <c r="C313" s="21" t="s">
        <v>3300</v>
      </c>
      <c r="D313" s="21" t="s">
        <v>621</v>
      </c>
      <c r="E313" s="21" t="s">
        <v>621</v>
      </c>
      <c r="F313" s="21" t="s">
        <v>621</v>
      </c>
      <c r="G313" s="21" t="s">
        <v>621</v>
      </c>
      <c r="H313" s="21" t="s">
        <v>621</v>
      </c>
      <c r="I313" s="21" t="s">
        <v>621</v>
      </c>
      <c r="J313" s="21" t="s">
        <v>621</v>
      </c>
      <c r="K313" s="21" t="s">
        <v>621</v>
      </c>
    </row>
    <row r="314" spans="1:11" x14ac:dyDescent="0.25">
      <c r="A314" s="20" t="s">
        <v>3301</v>
      </c>
      <c r="B314" s="21" t="s">
        <v>2867</v>
      </c>
      <c r="C314" s="21" t="s">
        <v>2868</v>
      </c>
      <c r="D314" s="21" t="s">
        <v>2869</v>
      </c>
      <c r="E314" s="21" t="s">
        <v>2870</v>
      </c>
      <c r="F314" s="21" t="s">
        <v>2866</v>
      </c>
      <c r="G314" s="21" t="s">
        <v>621</v>
      </c>
      <c r="H314" s="21" t="s">
        <v>621</v>
      </c>
      <c r="I314" s="21" t="s">
        <v>621</v>
      </c>
      <c r="J314" s="21" t="s">
        <v>621</v>
      </c>
      <c r="K314" s="21" t="s">
        <v>621</v>
      </c>
    </row>
    <row r="315" spans="1:11" x14ac:dyDescent="0.25">
      <c r="A315" s="20" t="s">
        <v>3302</v>
      </c>
      <c r="B315" s="21" t="s">
        <v>2873</v>
      </c>
      <c r="C315" s="21" t="s">
        <v>2874</v>
      </c>
      <c r="D315" s="21" t="s">
        <v>621</v>
      </c>
      <c r="E315" s="21" t="s">
        <v>621</v>
      </c>
      <c r="F315" s="21" t="s">
        <v>621</v>
      </c>
      <c r="G315" s="21" t="s">
        <v>621</v>
      </c>
      <c r="H315" s="21" t="s">
        <v>621</v>
      </c>
      <c r="I315" s="21" t="s">
        <v>621</v>
      </c>
      <c r="J315" s="21" t="s">
        <v>621</v>
      </c>
      <c r="K315" s="21" t="s">
        <v>621</v>
      </c>
    </row>
    <row r="316" spans="1:11" x14ac:dyDescent="0.25">
      <c r="A316" s="20" t="s">
        <v>3303</v>
      </c>
      <c r="B316" s="21" t="s">
        <v>3304</v>
      </c>
      <c r="C316" s="21" t="s">
        <v>3305</v>
      </c>
      <c r="D316" s="21" t="s">
        <v>621</v>
      </c>
      <c r="E316" s="21" t="s">
        <v>621</v>
      </c>
      <c r="F316" s="21" t="s">
        <v>621</v>
      </c>
      <c r="G316" s="21" t="s">
        <v>621</v>
      </c>
      <c r="H316" s="21" t="s">
        <v>621</v>
      </c>
      <c r="I316" s="21" t="s">
        <v>621</v>
      </c>
      <c r="J316" s="21" t="s">
        <v>621</v>
      </c>
      <c r="K316" s="21" t="s">
        <v>621</v>
      </c>
    </row>
    <row r="317" spans="1:11" x14ac:dyDescent="0.25">
      <c r="A317" s="20" t="s">
        <v>3306</v>
      </c>
      <c r="B317" s="21" t="s">
        <v>3304</v>
      </c>
      <c r="C317" s="21" t="s">
        <v>3305</v>
      </c>
      <c r="D317" s="21" t="s">
        <v>621</v>
      </c>
      <c r="E317" s="21" t="s">
        <v>621</v>
      </c>
      <c r="F317" s="21" t="s">
        <v>621</v>
      </c>
      <c r="G317" s="21" t="s">
        <v>621</v>
      </c>
      <c r="H317" s="21" t="s">
        <v>621</v>
      </c>
      <c r="I317" s="21" t="s">
        <v>621</v>
      </c>
      <c r="J317" s="21" t="s">
        <v>621</v>
      </c>
      <c r="K317" s="21" t="s">
        <v>621</v>
      </c>
    </row>
    <row r="318" spans="1:11" x14ac:dyDescent="0.25">
      <c r="A318" s="20" t="s">
        <v>3307</v>
      </c>
      <c r="B318" s="21" t="s">
        <v>3299</v>
      </c>
      <c r="C318" s="21" t="s">
        <v>3300</v>
      </c>
      <c r="D318" s="21" t="s">
        <v>621</v>
      </c>
      <c r="E318" s="21" t="s">
        <v>621</v>
      </c>
      <c r="F318" s="21" t="s">
        <v>621</v>
      </c>
      <c r="G318" s="21" t="s">
        <v>621</v>
      </c>
      <c r="H318" s="21" t="s">
        <v>621</v>
      </c>
      <c r="I318" s="21" t="s">
        <v>621</v>
      </c>
      <c r="J318" s="21" t="s">
        <v>621</v>
      </c>
      <c r="K318" s="21" t="s">
        <v>621</v>
      </c>
    </row>
    <row r="319" spans="1:11" x14ac:dyDescent="0.25">
      <c r="A319" s="20" t="s">
        <v>3308</v>
      </c>
      <c r="B319" s="21" t="s">
        <v>3299</v>
      </c>
      <c r="C319" s="21" t="s">
        <v>3300</v>
      </c>
      <c r="D319" s="21" t="s">
        <v>621</v>
      </c>
      <c r="E319" s="21" t="s">
        <v>621</v>
      </c>
      <c r="F319" s="21" t="s">
        <v>621</v>
      </c>
      <c r="G319" s="21" t="s">
        <v>621</v>
      </c>
      <c r="H319" s="21" t="s">
        <v>621</v>
      </c>
      <c r="I319" s="21" t="s">
        <v>621</v>
      </c>
      <c r="J319" s="21" t="s">
        <v>621</v>
      </c>
      <c r="K319" s="21" t="s">
        <v>621</v>
      </c>
    </row>
    <row r="320" spans="1:11" x14ac:dyDescent="0.25">
      <c r="A320" s="20" t="s">
        <v>3309</v>
      </c>
      <c r="B320" s="21" t="s">
        <v>2873</v>
      </c>
      <c r="C320" s="21" t="s">
        <v>2874</v>
      </c>
      <c r="D320" s="21" t="s">
        <v>621</v>
      </c>
      <c r="E320" s="21" t="s">
        <v>621</v>
      </c>
      <c r="F320" s="21" t="s">
        <v>621</v>
      </c>
      <c r="G320" s="21" t="s">
        <v>621</v>
      </c>
      <c r="H320" s="21" t="s">
        <v>621</v>
      </c>
      <c r="I320" s="21" t="s">
        <v>621</v>
      </c>
      <c r="J320" s="21" t="s">
        <v>621</v>
      </c>
      <c r="K320" s="21" t="s">
        <v>621</v>
      </c>
    </row>
    <row r="321" spans="1:11" x14ac:dyDescent="0.25">
      <c r="A321" s="20" t="s">
        <v>3310</v>
      </c>
      <c r="B321" s="21" t="s">
        <v>3311</v>
      </c>
      <c r="C321" s="21" t="s">
        <v>3312</v>
      </c>
      <c r="D321" s="21" t="s">
        <v>621</v>
      </c>
      <c r="E321" s="21" t="s">
        <v>621</v>
      </c>
      <c r="F321" s="21" t="s">
        <v>621</v>
      </c>
      <c r="G321" s="21" t="s">
        <v>621</v>
      </c>
      <c r="H321" s="21" t="s">
        <v>621</v>
      </c>
      <c r="I321" s="21" t="s">
        <v>621</v>
      </c>
      <c r="J321" s="21" t="s">
        <v>621</v>
      </c>
      <c r="K321" s="21" t="s">
        <v>621</v>
      </c>
    </row>
    <row r="322" spans="1:11" x14ac:dyDescent="0.25">
      <c r="A322" s="20" t="s">
        <v>3313</v>
      </c>
      <c r="B322" s="21" t="s">
        <v>3314</v>
      </c>
      <c r="C322" s="21" t="s">
        <v>621</v>
      </c>
      <c r="D322" s="21" t="s">
        <v>621</v>
      </c>
      <c r="E322" s="21" t="s">
        <v>621</v>
      </c>
      <c r="F322" s="21" t="s">
        <v>621</v>
      </c>
      <c r="G322" s="21" t="s">
        <v>621</v>
      </c>
      <c r="H322" s="21" t="s">
        <v>621</v>
      </c>
      <c r="I322" s="21" t="s">
        <v>621</v>
      </c>
      <c r="J322" s="21" t="s">
        <v>621</v>
      </c>
      <c r="K322" s="21" t="s">
        <v>621</v>
      </c>
    </row>
    <row r="323" spans="1:11" x14ac:dyDescent="0.25">
      <c r="A323" s="20" t="s">
        <v>3315</v>
      </c>
      <c r="B323" s="21" t="s">
        <v>3314</v>
      </c>
      <c r="C323" s="21" t="s">
        <v>621</v>
      </c>
      <c r="D323" s="21" t="s">
        <v>621</v>
      </c>
      <c r="E323" s="21" t="s">
        <v>621</v>
      </c>
      <c r="F323" s="21" t="s">
        <v>621</v>
      </c>
      <c r="G323" s="21" t="s">
        <v>621</v>
      </c>
      <c r="H323" s="21" t="s">
        <v>621</v>
      </c>
      <c r="I323" s="21" t="s">
        <v>621</v>
      </c>
      <c r="J323" s="21" t="s">
        <v>621</v>
      </c>
      <c r="K323" s="21" t="s">
        <v>621</v>
      </c>
    </row>
    <row r="324" spans="1:11" x14ac:dyDescent="0.25">
      <c r="A324" s="20" t="s">
        <v>3316</v>
      </c>
      <c r="B324" s="21" t="s">
        <v>3317</v>
      </c>
      <c r="C324" s="21" t="s">
        <v>621</v>
      </c>
      <c r="D324" s="21" t="s">
        <v>621</v>
      </c>
      <c r="E324" s="21" t="s">
        <v>621</v>
      </c>
      <c r="F324" s="21" t="s">
        <v>621</v>
      </c>
      <c r="G324" s="21" t="s">
        <v>621</v>
      </c>
      <c r="H324" s="21" t="s">
        <v>621</v>
      </c>
      <c r="I324" s="21" t="s">
        <v>621</v>
      </c>
      <c r="J324" s="21" t="s">
        <v>621</v>
      </c>
      <c r="K324" s="21" t="s">
        <v>621</v>
      </c>
    </row>
    <row r="325" spans="1:11" x14ac:dyDescent="0.25">
      <c r="A325" s="20" t="s">
        <v>3318</v>
      </c>
      <c r="B325" s="21" t="s">
        <v>3317</v>
      </c>
      <c r="C325" s="21" t="s">
        <v>621</v>
      </c>
      <c r="D325" s="21" t="s">
        <v>621</v>
      </c>
      <c r="E325" s="21" t="s">
        <v>621</v>
      </c>
      <c r="F325" s="21" t="s">
        <v>621</v>
      </c>
      <c r="G325" s="21" t="s">
        <v>621</v>
      </c>
      <c r="H325" s="21" t="s">
        <v>621</v>
      </c>
      <c r="I325" s="21" t="s">
        <v>621</v>
      </c>
      <c r="J325" s="21" t="s">
        <v>621</v>
      </c>
      <c r="K325" s="21" t="s">
        <v>621</v>
      </c>
    </row>
    <row r="326" spans="1:11" x14ac:dyDescent="0.25">
      <c r="A326" s="20" t="s">
        <v>3319</v>
      </c>
      <c r="B326" s="21" t="s">
        <v>3320</v>
      </c>
      <c r="C326" s="21" t="s">
        <v>621</v>
      </c>
      <c r="D326" s="21" t="s">
        <v>621</v>
      </c>
      <c r="E326" s="21" t="s">
        <v>621</v>
      </c>
      <c r="F326" s="21" t="s">
        <v>621</v>
      </c>
      <c r="G326" s="21" t="s">
        <v>621</v>
      </c>
      <c r="H326" s="21" t="s">
        <v>621</v>
      </c>
      <c r="I326" s="21" t="s">
        <v>621</v>
      </c>
      <c r="J326" s="21" t="s">
        <v>621</v>
      </c>
      <c r="K326" s="21" t="s">
        <v>621</v>
      </c>
    </row>
    <row r="327" spans="1:11" x14ac:dyDescent="0.25">
      <c r="A327" s="20" t="s">
        <v>3321</v>
      </c>
      <c r="B327" s="21" t="s">
        <v>3320</v>
      </c>
      <c r="C327" s="21" t="s">
        <v>621</v>
      </c>
      <c r="D327" s="21" t="s">
        <v>621</v>
      </c>
      <c r="E327" s="21" t="s">
        <v>621</v>
      </c>
      <c r="F327" s="21" t="s">
        <v>621</v>
      </c>
      <c r="G327" s="21" t="s">
        <v>621</v>
      </c>
      <c r="H327" s="21" t="s">
        <v>621</v>
      </c>
      <c r="I327" s="21" t="s">
        <v>621</v>
      </c>
      <c r="J327" s="21" t="s">
        <v>621</v>
      </c>
      <c r="K327" s="21" t="s">
        <v>621</v>
      </c>
    </row>
    <row r="328" spans="1:11" x14ac:dyDescent="0.25">
      <c r="A328" s="20" t="s">
        <v>2603</v>
      </c>
      <c r="B328" s="21" t="s">
        <v>2571</v>
      </c>
      <c r="C328" s="21" t="s">
        <v>2604</v>
      </c>
      <c r="D328" s="21" t="s">
        <v>3322</v>
      </c>
      <c r="E328" s="21" t="s">
        <v>3322</v>
      </c>
      <c r="F328" s="21" t="s">
        <v>3323</v>
      </c>
      <c r="G328" s="21" t="s">
        <v>3323</v>
      </c>
      <c r="H328" s="21" t="s">
        <v>621</v>
      </c>
      <c r="I328" s="21" t="s">
        <v>621</v>
      </c>
      <c r="J328" s="21" t="s">
        <v>621</v>
      </c>
      <c r="K328" s="21" t="s">
        <v>621</v>
      </c>
    </row>
    <row r="329" spans="1:11" x14ac:dyDescent="0.25">
      <c r="A329" s="20" t="s">
        <v>3324</v>
      </c>
      <c r="B329" s="21" t="s">
        <v>3325</v>
      </c>
      <c r="C329" s="21" t="s">
        <v>621</v>
      </c>
      <c r="D329" s="21" t="s">
        <v>621</v>
      </c>
      <c r="E329" s="21" t="s">
        <v>621</v>
      </c>
      <c r="F329" s="21" t="s">
        <v>621</v>
      </c>
      <c r="G329" s="21" t="s">
        <v>621</v>
      </c>
      <c r="H329" s="21" t="s">
        <v>621</v>
      </c>
      <c r="I329" s="21" t="s">
        <v>621</v>
      </c>
      <c r="J329" s="21" t="s">
        <v>621</v>
      </c>
      <c r="K329" s="21" t="s">
        <v>621</v>
      </c>
    </row>
    <row r="330" spans="1:11" x14ac:dyDescent="0.25">
      <c r="A330" s="20" t="s">
        <v>3326</v>
      </c>
      <c r="B330" s="21" t="s">
        <v>3327</v>
      </c>
      <c r="C330" s="21" t="s">
        <v>621</v>
      </c>
      <c r="D330" s="21" t="s">
        <v>621</v>
      </c>
      <c r="E330" s="21" t="s">
        <v>621</v>
      </c>
      <c r="F330" s="21" t="s">
        <v>621</v>
      </c>
      <c r="G330" s="21" t="s">
        <v>621</v>
      </c>
      <c r="H330" s="21" t="s">
        <v>621</v>
      </c>
      <c r="I330" s="21" t="s">
        <v>621</v>
      </c>
      <c r="J330" s="21" t="s">
        <v>621</v>
      </c>
      <c r="K330" s="21" t="s">
        <v>621</v>
      </c>
    </row>
    <row r="331" spans="1:11" x14ac:dyDescent="0.25">
      <c r="A331" s="20" t="s">
        <v>3328</v>
      </c>
      <c r="B331" s="21" t="s">
        <v>3329</v>
      </c>
      <c r="C331" s="21" t="s">
        <v>621</v>
      </c>
      <c r="D331" s="21" t="s">
        <v>621</v>
      </c>
      <c r="E331" s="21" t="s">
        <v>621</v>
      </c>
      <c r="F331" s="21" t="s">
        <v>621</v>
      </c>
      <c r="G331" s="21" t="s">
        <v>621</v>
      </c>
      <c r="H331" s="21" t="s">
        <v>621</v>
      </c>
      <c r="I331" s="21" t="s">
        <v>621</v>
      </c>
      <c r="J331" s="21" t="s">
        <v>621</v>
      </c>
      <c r="K331" s="21" t="s">
        <v>621</v>
      </c>
    </row>
    <row r="332" spans="1:11" x14ac:dyDescent="0.25">
      <c r="A332" s="20" t="s">
        <v>3330</v>
      </c>
      <c r="B332" s="21" t="s">
        <v>3331</v>
      </c>
      <c r="C332" s="21" t="s">
        <v>621</v>
      </c>
      <c r="D332" s="21" t="s">
        <v>621</v>
      </c>
      <c r="E332" s="21" t="s">
        <v>621</v>
      </c>
      <c r="F332" s="21" t="s">
        <v>621</v>
      </c>
      <c r="G332" s="21" t="s">
        <v>621</v>
      </c>
      <c r="H332" s="21" t="s">
        <v>621</v>
      </c>
      <c r="I332" s="21" t="s">
        <v>621</v>
      </c>
      <c r="J332" s="21" t="s">
        <v>621</v>
      </c>
      <c r="K332" s="21" t="s">
        <v>621</v>
      </c>
    </row>
    <row r="333" spans="1:11" x14ac:dyDescent="0.25">
      <c r="A333" s="20" t="s">
        <v>3332</v>
      </c>
      <c r="B333" s="21" t="s">
        <v>3331</v>
      </c>
      <c r="C333" s="21" t="s">
        <v>621</v>
      </c>
      <c r="D333" s="21" t="s">
        <v>621</v>
      </c>
      <c r="E333" s="21" t="s">
        <v>621</v>
      </c>
      <c r="F333" s="21" t="s">
        <v>621</v>
      </c>
      <c r="G333" s="21" t="s">
        <v>621</v>
      </c>
      <c r="H333" s="21" t="s">
        <v>621</v>
      </c>
      <c r="I333" s="21" t="s">
        <v>621</v>
      </c>
      <c r="J333" s="21" t="s">
        <v>621</v>
      </c>
      <c r="K333" s="21" t="s">
        <v>621</v>
      </c>
    </row>
    <row r="334" spans="1:11" x14ac:dyDescent="0.25">
      <c r="A334" s="20" t="s">
        <v>2605</v>
      </c>
      <c r="B334" s="21" t="s">
        <v>2604</v>
      </c>
      <c r="C334" s="21" t="s">
        <v>3333</v>
      </c>
      <c r="D334" s="21" t="s">
        <v>621</v>
      </c>
      <c r="E334" s="21" t="s">
        <v>621</v>
      </c>
      <c r="F334" s="21" t="s">
        <v>621</v>
      </c>
      <c r="G334" s="21" t="s">
        <v>621</v>
      </c>
      <c r="H334" s="21" t="s">
        <v>621</v>
      </c>
      <c r="I334" s="21" t="s">
        <v>621</v>
      </c>
      <c r="J334" s="21" t="s">
        <v>621</v>
      </c>
      <c r="K334" s="21" t="s">
        <v>621</v>
      </c>
    </row>
    <row r="335" spans="1:11" x14ac:dyDescent="0.25">
      <c r="A335" s="20" t="s">
        <v>3334</v>
      </c>
      <c r="B335" s="21" t="s">
        <v>3335</v>
      </c>
      <c r="C335" s="21" t="s">
        <v>621</v>
      </c>
      <c r="D335" s="21" t="s">
        <v>621</v>
      </c>
      <c r="E335" s="21" t="s">
        <v>621</v>
      </c>
      <c r="F335" s="21" t="s">
        <v>621</v>
      </c>
      <c r="G335" s="21" t="s">
        <v>621</v>
      </c>
      <c r="H335" s="21" t="s">
        <v>621</v>
      </c>
      <c r="I335" s="21" t="s">
        <v>621</v>
      </c>
      <c r="J335" s="21" t="s">
        <v>621</v>
      </c>
      <c r="K335" s="21" t="s">
        <v>621</v>
      </c>
    </row>
    <row r="336" spans="1:11" x14ac:dyDescent="0.25">
      <c r="A336" s="20" t="s">
        <v>3336</v>
      </c>
      <c r="B336" s="21" t="s">
        <v>3337</v>
      </c>
      <c r="C336" s="21" t="s">
        <v>621</v>
      </c>
      <c r="D336" s="21" t="s">
        <v>621</v>
      </c>
      <c r="E336" s="21" t="s">
        <v>621</v>
      </c>
      <c r="F336" s="21" t="s">
        <v>621</v>
      </c>
      <c r="G336" s="21" t="s">
        <v>621</v>
      </c>
      <c r="H336" s="21" t="s">
        <v>621</v>
      </c>
      <c r="I336" s="21" t="s">
        <v>621</v>
      </c>
      <c r="J336" s="21" t="s">
        <v>621</v>
      </c>
      <c r="K336" s="21" t="s">
        <v>621</v>
      </c>
    </row>
    <row r="337" spans="1:11" x14ac:dyDescent="0.25">
      <c r="A337" s="20" t="s">
        <v>3338</v>
      </c>
      <c r="B337" s="21" t="s">
        <v>3339</v>
      </c>
      <c r="C337" s="21" t="s">
        <v>621</v>
      </c>
      <c r="D337" s="21" t="s">
        <v>621</v>
      </c>
      <c r="E337" s="21" t="s">
        <v>621</v>
      </c>
      <c r="F337" s="21" t="s">
        <v>621</v>
      </c>
      <c r="G337" s="21" t="s">
        <v>621</v>
      </c>
      <c r="H337" s="21" t="s">
        <v>621</v>
      </c>
      <c r="I337" s="21" t="s">
        <v>621</v>
      </c>
      <c r="J337" s="21" t="s">
        <v>621</v>
      </c>
      <c r="K337" s="21" t="s">
        <v>621</v>
      </c>
    </row>
    <row r="338" spans="1:11" x14ac:dyDescent="0.25">
      <c r="A338" s="20" t="s">
        <v>3340</v>
      </c>
      <c r="B338" s="21" t="s">
        <v>3341</v>
      </c>
      <c r="C338" s="21" t="s">
        <v>621</v>
      </c>
      <c r="D338" s="21" t="s">
        <v>621</v>
      </c>
      <c r="E338" s="21" t="s">
        <v>621</v>
      </c>
      <c r="F338" s="21" t="s">
        <v>621</v>
      </c>
      <c r="G338" s="21" t="s">
        <v>621</v>
      </c>
      <c r="H338" s="21" t="s">
        <v>621</v>
      </c>
      <c r="I338" s="21" t="s">
        <v>621</v>
      </c>
      <c r="J338" s="21" t="s">
        <v>621</v>
      </c>
      <c r="K338" s="21" t="s">
        <v>621</v>
      </c>
    </row>
    <row r="339" spans="1:11" x14ac:dyDescent="0.25">
      <c r="A339" s="20" t="s">
        <v>3342</v>
      </c>
      <c r="B339" s="21" t="s">
        <v>3343</v>
      </c>
      <c r="C339" s="21" t="s">
        <v>621</v>
      </c>
      <c r="D339" s="21" t="s">
        <v>621</v>
      </c>
      <c r="E339" s="21" t="s">
        <v>621</v>
      </c>
      <c r="F339" s="21" t="s">
        <v>621</v>
      </c>
      <c r="G339" s="21" t="s">
        <v>621</v>
      </c>
      <c r="H339" s="21" t="s">
        <v>621</v>
      </c>
      <c r="I339" s="21" t="s">
        <v>621</v>
      </c>
      <c r="J339" s="21" t="s">
        <v>621</v>
      </c>
      <c r="K339" s="21" t="s">
        <v>621</v>
      </c>
    </row>
    <row r="340" spans="1:11" x14ac:dyDescent="0.25">
      <c r="A340" s="20" t="s">
        <v>3344</v>
      </c>
      <c r="B340" s="21" t="s">
        <v>3345</v>
      </c>
      <c r="C340" s="21" t="s">
        <v>621</v>
      </c>
      <c r="D340" s="21" t="s">
        <v>621</v>
      </c>
      <c r="E340" s="21" t="s">
        <v>621</v>
      </c>
      <c r="F340" s="21" t="s">
        <v>621</v>
      </c>
      <c r="G340" s="21" t="s">
        <v>621</v>
      </c>
      <c r="H340" s="21" t="s">
        <v>621</v>
      </c>
      <c r="I340" s="21" t="s">
        <v>621</v>
      </c>
      <c r="J340" s="21" t="s">
        <v>621</v>
      </c>
      <c r="K340" s="21" t="s">
        <v>621</v>
      </c>
    </row>
    <row r="341" spans="1:11" x14ac:dyDescent="0.25">
      <c r="A341" s="20" t="s">
        <v>3346</v>
      </c>
      <c r="B341" s="21" t="s">
        <v>3347</v>
      </c>
      <c r="C341" s="21" t="s">
        <v>621</v>
      </c>
      <c r="D341" s="21" t="s">
        <v>621</v>
      </c>
      <c r="E341" s="21" t="s">
        <v>621</v>
      </c>
      <c r="F341" s="21" t="s">
        <v>621</v>
      </c>
      <c r="G341" s="21" t="s">
        <v>621</v>
      </c>
      <c r="H341" s="21" t="s">
        <v>621</v>
      </c>
      <c r="I341" s="21" t="s">
        <v>621</v>
      </c>
      <c r="J341" s="21" t="s">
        <v>621</v>
      </c>
      <c r="K341" s="21" t="s">
        <v>621</v>
      </c>
    </row>
    <row r="342" spans="1:11" x14ac:dyDescent="0.25">
      <c r="A342" s="20" t="s">
        <v>3348</v>
      </c>
      <c r="B342" s="21" t="s">
        <v>3349</v>
      </c>
      <c r="C342" s="21" t="s">
        <v>621</v>
      </c>
      <c r="D342" s="21" t="s">
        <v>621</v>
      </c>
      <c r="E342" s="21" t="s">
        <v>621</v>
      </c>
      <c r="F342" s="21" t="s">
        <v>621</v>
      </c>
      <c r="G342" s="21" t="s">
        <v>621</v>
      </c>
      <c r="H342" s="21" t="s">
        <v>621</v>
      </c>
      <c r="I342" s="21" t="s">
        <v>621</v>
      </c>
      <c r="J342" s="21" t="s">
        <v>621</v>
      </c>
      <c r="K342" s="21" t="s">
        <v>621</v>
      </c>
    </row>
    <row r="343" spans="1:11" x14ac:dyDescent="0.25">
      <c r="A343" s="20" t="s">
        <v>3350</v>
      </c>
      <c r="B343" s="21" t="s">
        <v>2823</v>
      </c>
      <c r="C343" s="21" t="s">
        <v>2813</v>
      </c>
      <c r="D343" s="21" t="s">
        <v>621</v>
      </c>
      <c r="E343" s="21" t="s">
        <v>621</v>
      </c>
      <c r="F343" s="21" t="s">
        <v>621</v>
      </c>
      <c r="G343" s="21" t="s">
        <v>621</v>
      </c>
      <c r="H343" s="21" t="s">
        <v>621</v>
      </c>
      <c r="I343" s="21" t="s">
        <v>621</v>
      </c>
      <c r="J343" s="21" t="s">
        <v>621</v>
      </c>
      <c r="K343" s="21" t="s">
        <v>621</v>
      </c>
    </row>
    <row r="344" spans="1:11" x14ac:dyDescent="0.25">
      <c r="A344" s="20" t="s">
        <v>3351</v>
      </c>
      <c r="B344" s="21" t="s">
        <v>3352</v>
      </c>
      <c r="C344" s="21" t="s">
        <v>621</v>
      </c>
      <c r="D344" s="21" t="s">
        <v>621</v>
      </c>
      <c r="E344" s="21" t="s">
        <v>621</v>
      </c>
      <c r="F344" s="21" t="s">
        <v>621</v>
      </c>
      <c r="G344" s="21" t="s">
        <v>621</v>
      </c>
      <c r="H344" s="21" t="s">
        <v>621</v>
      </c>
      <c r="I344" s="21" t="s">
        <v>621</v>
      </c>
      <c r="J344" s="21" t="s">
        <v>621</v>
      </c>
      <c r="K344" s="21" t="s">
        <v>621</v>
      </c>
    </row>
    <row r="345" spans="1:11" x14ac:dyDescent="0.25">
      <c r="A345" s="20" t="s">
        <v>2606</v>
      </c>
      <c r="B345" s="21" t="s">
        <v>2586</v>
      </c>
      <c r="C345" s="21" t="s">
        <v>2587</v>
      </c>
      <c r="D345" s="21" t="s">
        <v>2588</v>
      </c>
      <c r="E345" s="21" t="s">
        <v>2810</v>
      </c>
      <c r="F345" s="21" t="s">
        <v>2811</v>
      </c>
      <c r="G345" s="21" t="s">
        <v>2948</v>
      </c>
      <c r="H345" s="21" t="s">
        <v>621</v>
      </c>
      <c r="I345" s="21" t="s">
        <v>621</v>
      </c>
      <c r="J345" s="21" t="s">
        <v>621</v>
      </c>
      <c r="K345" s="21" t="s">
        <v>621</v>
      </c>
    </row>
    <row r="346" spans="1:11" x14ac:dyDescent="0.25">
      <c r="A346" s="20" t="s">
        <v>3353</v>
      </c>
      <c r="B346" s="21" t="s">
        <v>3354</v>
      </c>
      <c r="C346" s="21" t="s">
        <v>3355</v>
      </c>
      <c r="D346" s="21" t="s">
        <v>621</v>
      </c>
      <c r="E346" s="21" t="s">
        <v>621</v>
      </c>
      <c r="F346" s="21" t="s">
        <v>621</v>
      </c>
      <c r="G346" s="21" t="s">
        <v>621</v>
      </c>
      <c r="H346" s="21" t="s">
        <v>621</v>
      </c>
      <c r="I346" s="21" t="s">
        <v>621</v>
      </c>
      <c r="J346" s="21" t="s">
        <v>621</v>
      </c>
      <c r="K346" s="21" t="s">
        <v>621</v>
      </c>
    </row>
    <row r="347" spans="1:11" x14ac:dyDescent="0.25">
      <c r="A347" s="20" t="s">
        <v>3356</v>
      </c>
      <c r="B347" s="21" t="s">
        <v>3357</v>
      </c>
      <c r="C347" s="21" t="s">
        <v>621</v>
      </c>
      <c r="D347" s="21" t="s">
        <v>621</v>
      </c>
      <c r="E347" s="21" t="s">
        <v>621</v>
      </c>
      <c r="F347" s="21" t="s">
        <v>621</v>
      </c>
      <c r="G347" s="21" t="s">
        <v>621</v>
      </c>
      <c r="H347" s="21" t="s">
        <v>621</v>
      </c>
      <c r="I347" s="21" t="s">
        <v>621</v>
      </c>
      <c r="J347" s="21" t="s">
        <v>621</v>
      </c>
      <c r="K347" s="21" t="s">
        <v>621</v>
      </c>
    </row>
    <row r="348" spans="1:11" x14ac:dyDescent="0.25">
      <c r="A348" s="20" t="s">
        <v>3358</v>
      </c>
      <c r="B348" s="21" t="s">
        <v>3359</v>
      </c>
      <c r="C348" s="21" t="s">
        <v>621</v>
      </c>
      <c r="D348" s="21" t="s">
        <v>621</v>
      </c>
      <c r="E348" s="21" t="s">
        <v>621</v>
      </c>
      <c r="F348" s="21" t="s">
        <v>621</v>
      </c>
      <c r="G348" s="21" t="s">
        <v>621</v>
      </c>
      <c r="H348" s="21" t="s">
        <v>621</v>
      </c>
      <c r="I348" s="21" t="s">
        <v>621</v>
      </c>
      <c r="J348" s="21" t="s">
        <v>621</v>
      </c>
      <c r="K348" s="21" t="s">
        <v>621</v>
      </c>
    </row>
    <row r="349" spans="1:11" x14ac:dyDescent="0.25">
      <c r="A349" s="20" t="s">
        <v>3360</v>
      </c>
      <c r="B349" s="21" t="s">
        <v>3361</v>
      </c>
      <c r="C349" s="21" t="s">
        <v>621</v>
      </c>
      <c r="D349" s="21" t="s">
        <v>621</v>
      </c>
      <c r="E349" s="21" t="s">
        <v>621</v>
      </c>
      <c r="F349" s="21" t="s">
        <v>621</v>
      </c>
      <c r="G349" s="21" t="s">
        <v>621</v>
      </c>
      <c r="H349" s="21" t="s">
        <v>621</v>
      </c>
      <c r="I349" s="21" t="s">
        <v>621</v>
      </c>
      <c r="J349" s="21" t="s">
        <v>621</v>
      </c>
      <c r="K349" s="21" t="s">
        <v>621</v>
      </c>
    </row>
    <row r="350" spans="1:11" x14ac:dyDescent="0.25">
      <c r="A350" s="20" t="s">
        <v>3362</v>
      </c>
      <c r="B350" s="21" t="s">
        <v>3363</v>
      </c>
      <c r="C350" s="21" t="s">
        <v>621</v>
      </c>
      <c r="D350" s="21" t="s">
        <v>621</v>
      </c>
      <c r="E350" s="21" t="s">
        <v>621</v>
      </c>
      <c r="F350" s="21" t="s">
        <v>621</v>
      </c>
      <c r="G350" s="21" t="s">
        <v>621</v>
      </c>
      <c r="H350" s="21" t="s">
        <v>621</v>
      </c>
      <c r="I350" s="21" t="s">
        <v>621</v>
      </c>
      <c r="J350" s="21" t="s">
        <v>621</v>
      </c>
      <c r="K350" s="21" t="s">
        <v>621</v>
      </c>
    </row>
    <row r="351" spans="1:11" x14ac:dyDescent="0.25">
      <c r="A351" s="20" t="s">
        <v>3364</v>
      </c>
      <c r="B351" s="21" t="s">
        <v>3365</v>
      </c>
      <c r="C351" s="21" t="s">
        <v>621</v>
      </c>
      <c r="D351" s="21" t="s">
        <v>621</v>
      </c>
      <c r="E351" s="21" t="s">
        <v>621</v>
      </c>
      <c r="F351" s="21" t="s">
        <v>621</v>
      </c>
      <c r="G351" s="21" t="s">
        <v>621</v>
      </c>
      <c r="H351" s="21" t="s">
        <v>621</v>
      </c>
      <c r="I351" s="21" t="s">
        <v>621</v>
      </c>
      <c r="J351" s="21" t="s">
        <v>621</v>
      </c>
      <c r="K351" s="21" t="s">
        <v>621</v>
      </c>
    </row>
    <row r="352" spans="1:11" x14ac:dyDescent="0.25">
      <c r="A352" s="20" t="s">
        <v>3366</v>
      </c>
      <c r="B352" s="21" t="s">
        <v>3367</v>
      </c>
      <c r="C352" s="21" t="s">
        <v>621</v>
      </c>
      <c r="D352" s="21" t="s">
        <v>621</v>
      </c>
      <c r="E352" s="21" t="s">
        <v>621</v>
      </c>
      <c r="F352" s="21" t="s">
        <v>621</v>
      </c>
      <c r="G352" s="21" t="s">
        <v>621</v>
      </c>
      <c r="H352" s="21" t="s">
        <v>621</v>
      </c>
      <c r="I352" s="21" t="s">
        <v>621</v>
      </c>
      <c r="J352" s="21" t="s">
        <v>621</v>
      </c>
      <c r="K352" s="21" t="s">
        <v>621</v>
      </c>
    </row>
    <row r="353" spans="1:11" x14ac:dyDescent="0.25">
      <c r="A353" s="20" t="s">
        <v>3368</v>
      </c>
      <c r="B353" s="21" t="s">
        <v>3369</v>
      </c>
      <c r="C353" s="21" t="s">
        <v>621</v>
      </c>
      <c r="D353" s="21" t="s">
        <v>621</v>
      </c>
      <c r="E353" s="21" t="s">
        <v>621</v>
      </c>
      <c r="F353" s="21" t="s">
        <v>621</v>
      </c>
      <c r="G353" s="21" t="s">
        <v>621</v>
      </c>
      <c r="H353" s="21" t="s">
        <v>621</v>
      </c>
      <c r="I353" s="21" t="s">
        <v>621</v>
      </c>
      <c r="J353" s="21" t="s">
        <v>621</v>
      </c>
      <c r="K353" s="21" t="s">
        <v>621</v>
      </c>
    </row>
    <row r="354" spans="1:11" x14ac:dyDescent="0.25">
      <c r="A354" s="20" t="s">
        <v>3370</v>
      </c>
      <c r="B354" s="21" t="s">
        <v>3371</v>
      </c>
      <c r="C354" s="21" t="s">
        <v>621</v>
      </c>
      <c r="D354" s="21" t="s">
        <v>621</v>
      </c>
      <c r="E354" s="21" t="s">
        <v>621</v>
      </c>
      <c r="F354" s="21" t="s">
        <v>621</v>
      </c>
      <c r="G354" s="21" t="s">
        <v>621</v>
      </c>
      <c r="H354" s="21" t="s">
        <v>621</v>
      </c>
      <c r="I354" s="21" t="s">
        <v>621</v>
      </c>
      <c r="J354" s="21" t="s">
        <v>621</v>
      </c>
      <c r="K354" s="21" t="s">
        <v>621</v>
      </c>
    </row>
    <row r="355" spans="1:11" x14ac:dyDescent="0.25">
      <c r="A355" s="20" t="s">
        <v>3372</v>
      </c>
      <c r="B355" s="21" t="s">
        <v>3373</v>
      </c>
      <c r="C355" s="21" t="s">
        <v>621</v>
      </c>
      <c r="D355" s="21" t="s">
        <v>621</v>
      </c>
      <c r="E355" s="21" t="s">
        <v>621</v>
      </c>
      <c r="F355" s="21" t="s">
        <v>621</v>
      </c>
      <c r="G355" s="21" t="s">
        <v>621</v>
      </c>
      <c r="H355" s="21" t="s">
        <v>621</v>
      </c>
      <c r="I355" s="21" t="s">
        <v>621</v>
      </c>
      <c r="J355" s="21" t="s">
        <v>621</v>
      </c>
      <c r="K355" s="21" t="s">
        <v>621</v>
      </c>
    </row>
    <row r="356" spans="1:11" x14ac:dyDescent="0.25">
      <c r="A356" s="20" t="s">
        <v>3374</v>
      </c>
      <c r="B356" s="21" t="s">
        <v>3375</v>
      </c>
      <c r="C356" s="21" t="s">
        <v>621</v>
      </c>
      <c r="D356" s="21" t="s">
        <v>621</v>
      </c>
      <c r="E356" s="21" t="s">
        <v>621</v>
      </c>
      <c r="F356" s="21" t="s">
        <v>621</v>
      </c>
      <c r="G356" s="21" t="s">
        <v>621</v>
      </c>
      <c r="H356" s="21" t="s">
        <v>621</v>
      </c>
      <c r="I356" s="21" t="s">
        <v>621</v>
      </c>
      <c r="J356" s="21" t="s">
        <v>621</v>
      </c>
      <c r="K356" s="21" t="s">
        <v>621</v>
      </c>
    </row>
    <row r="357" spans="1:11" x14ac:dyDescent="0.25">
      <c r="A357" s="20" t="s">
        <v>3376</v>
      </c>
      <c r="B357" s="21" t="s">
        <v>3377</v>
      </c>
      <c r="C357" s="21" t="s">
        <v>621</v>
      </c>
      <c r="D357" s="21" t="s">
        <v>621</v>
      </c>
      <c r="E357" s="21" t="s">
        <v>621</v>
      </c>
      <c r="F357" s="21" t="s">
        <v>621</v>
      </c>
      <c r="G357" s="21" t="s">
        <v>621</v>
      </c>
      <c r="H357" s="21" t="s">
        <v>621</v>
      </c>
      <c r="I357" s="21" t="s">
        <v>621</v>
      </c>
      <c r="J357" s="21" t="s">
        <v>621</v>
      </c>
      <c r="K357" s="21" t="s">
        <v>621</v>
      </c>
    </row>
    <row r="358" spans="1:11" x14ac:dyDescent="0.25">
      <c r="A358" s="20" t="s">
        <v>3378</v>
      </c>
      <c r="B358" s="21" t="s">
        <v>3377</v>
      </c>
      <c r="C358" s="21" t="s">
        <v>621</v>
      </c>
      <c r="D358" s="21" t="s">
        <v>621</v>
      </c>
      <c r="E358" s="21" t="s">
        <v>621</v>
      </c>
      <c r="F358" s="21" t="s">
        <v>621</v>
      </c>
      <c r="G358" s="21" t="s">
        <v>621</v>
      </c>
      <c r="H358" s="21" t="s">
        <v>621</v>
      </c>
      <c r="I358" s="21" t="s">
        <v>621</v>
      </c>
      <c r="J358" s="21" t="s">
        <v>621</v>
      </c>
      <c r="K358" s="21" t="s">
        <v>621</v>
      </c>
    </row>
    <row r="359" spans="1:11" x14ac:dyDescent="0.25">
      <c r="A359" s="20" t="s">
        <v>3379</v>
      </c>
      <c r="B359" s="21" t="s">
        <v>3375</v>
      </c>
      <c r="C359" s="21" t="s">
        <v>621</v>
      </c>
      <c r="D359" s="21" t="s">
        <v>621</v>
      </c>
      <c r="E359" s="21" t="s">
        <v>621</v>
      </c>
      <c r="F359" s="21" t="s">
        <v>621</v>
      </c>
      <c r="G359" s="21" t="s">
        <v>621</v>
      </c>
      <c r="H359" s="21" t="s">
        <v>621</v>
      </c>
      <c r="I359" s="21" t="s">
        <v>621</v>
      </c>
      <c r="J359" s="21" t="s">
        <v>621</v>
      </c>
      <c r="K359" s="21" t="s">
        <v>621</v>
      </c>
    </row>
    <row r="360" spans="1:11" x14ac:dyDescent="0.25">
      <c r="A360" s="20" t="s">
        <v>3380</v>
      </c>
      <c r="B360" s="21" t="s">
        <v>3381</v>
      </c>
      <c r="C360" s="21" t="s">
        <v>621</v>
      </c>
      <c r="D360" s="21" t="s">
        <v>621</v>
      </c>
      <c r="E360" s="21" t="s">
        <v>621</v>
      </c>
      <c r="F360" s="21" t="s">
        <v>621</v>
      </c>
      <c r="G360" s="21" t="s">
        <v>621</v>
      </c>
      <c r="H360" s="21" t="s">
        <v>621</v>
      </c>
      <c r="I360" s="21" t="s">
        <v>621</v>
      </c>
      <c r="J360" s="21" t="s">
        <v>621</v>
      </c>
      <c r="K360" s="21" t="s">
        <v>621</v>
      </c>
    </row>
    <row r="361" spans="1:11" x14ac:dyDescent="0.25">
      <c r="A361" s="20" t="s">
        <v>3382</v>
      </c>
      <c r="B361" s="21" t="s">
        <v>2918</v>
      </c>
      <c r="C361" s="21" t="s">
        <v>2919</v>
      </c>
      <c r="D361" s="21" t="s">
        <v>621</v>
      </c>
      <c r="E361" s="21" t="s">
        <v>621</v>
      </c>
      <c r="F361" s="21" t="s">
        <v>621</v>
      </c>
      <c r="G361" s="21" t="s">
        <v>621</v>
      </c>
      <c r="H361" s="21" t="s">
        <v>621</v>
      </c>
      <c r="I361" s="21" t="s">
        <v>621</v>
      </c>
      <c r="J361" s="21" t="s">
        <v>621</v>
      </c>
      <c r="K361" s="21" t="s">
        <v>621</v>
      </c>
    </row>
    <row r="362" spans="1:11" x14ac:dyDescent="0.25">
      <c r="A362" s="20" t="s">
        <v>2607</v>
      </c>
      <c r="B362" s="21" t="s">
        <v>2514</v>
      </c>
      <c r="C362" s="21" t="s">
        <v>3383</v>
      </c>
      <c r="D362" s="21" t="s">
        <v>621</v>
      </c>
      <c r="E362" s="21" t="s">
        <v>621</v>
      </c>
      <c r="F362" s="21" t="s">
        <v>621</v>
      </c>
      <c r="G362" s="21" t="s">
        <v>621</v>
      </c>
      <c r="H362" s="21" t="s">
        <v>621</v>
      </c>
      <c r="I362" s="21" t="s">
        <v>621</v>
      </c>
      <c r="J362" s="21" t="s">
        <v>621</v>
      </c>
      <c r="K362" s="21" t="s">
        <v>621</v>
      </c>
    </row>
    <row r="363" spans="1:11" x14ac:dyDescent="0.25">
      <c r="A363" s="20" t="s">
        <v>2608</v>
      </c>
      <c r="B363" s="21" t="s">
        <v>2516</v>
      </c>
      <c r="C363" s="21" t="s">
        <v>2517</v>
      </c>
      <c r="D363" s="21" t="s">
        <v>2918</v>
      </c>
      <c r="E363" s="21" t="s">
        <v>2919</v>
      </c>
      <c r="F363" s="21" t="s">
        <v>621</v>
      </c>
      <c r="G363" s="21" t="s">
        <v>621</v>
      </c>
      <c r="H363" s="21" t="s">
        <v>621</v>
      </c>
      <c r="I363" s="21" t="s">
        <v>621</v>
      </c>
      <c r="J363" s="21" t="s">
        <v>621</v>
      </c>
      <c r="K363" s="21" t="s">
        <v>621</v>
      </c>
    </row>
    <row r="364" spans="1:11" x14ac:dyDescent="0.25">
      <c r="A364" s="20" t="s">
        <v>3384</v>
      </c>
      <c r="B364" s="21" t="s">
        <v>3385</v>
      </c>
      <c r="C364" s="21" t="s">
        <v>621</v>
      </c>
      <c r="D364" s="21" t="s">
        <v>621</v>
      </c>
      <c r="E364" s="21" t="s">
        <v>621</v>
      </c>
      <c r="F364" s="21" t="s">
        <v>621</v>
      </c>
      <c r="G364" s="21" t="s">
        <v>621</v>
      </c>
      <c r="H364" s="21" t="s">
        <v>621</v>
      </c>
      <c r="I364" s="21" t="s">
        <v>621</v>
      </c>
      <c r="J364" s="21" t="s">
        <v>621</v>
      </c>
      <c r="K364" s="21" t="s">
        <v>621</v>
      </c>
    </row>
    <row r="365" spans="1:11" x14ac:dyDescent="0.25">
      <c r="A365" s="20" t="s">
        <v>3386</v>
      </c>
      <c r="B365" s="21" t="s">
        <v>3387</v>
      </c>
      <c r="C365" s="21" t="s">
        <v>621</v>
      </c>
      <c r="D365" s="21" t="s">
        <v>621</v>
      </c>
      <c r="E365" s="21" t="s">
        <v>621</v>
      </c>
      <c r="F365" s="21" t="s">
        <v>621</v>
      </c>
      <c r="G365" s="21" t="s">
        <v>621</v>
      </c>
      <c r="H365" s="21" t="s">
        <v>621</v>
      </c>
      <c r="I365" s="21" t="s">
        <v>621</v>
      </c>
      <c r="J365" s="21" t="s">
        <v>621</v>
      </c>
      <c r="K365" s="21" t="s">
        <v>621</v>
      </c>
    </row>
    <row r="366" spans="1:11" x14ac:dyDescent="0.25">
      <c r="A366" s="20" t="s">
        <v>3388</v>
      </c>
      <c r="B366" s="21" t="s">
        <v>3383</v>
      </c>
      <c r="C366" s="21" t="s">
        <v>621</v>
      </c>
      <c r="D366" s="21" t="s">
        <v>621</v>
      </c>
      <c r="E366" s="21" t="s">
        <v>621</v>
      </c>
      <c r="F366" s="21" t="s">
        <v>621</v>
      </c>
      <c r="G366" s="21" t="s">
        <v>621</v>
      </c>
      <c r="H366" s="21" t="s">
        <v>621</v>
      </c>
      <c r="I366" s="21" t="s">
        <v>621</v>
      </c>
      <c r="J366" s="21" t="s">
        <v>621</v>
      </c>
      <c r="K366" s="21" t="s">
        <v>621</v>
      </c>
    </row>
    <row r="367" spans="1:11" x14ac:dyDescent="0.25">
      <c r="A367" s="20" t="s">
        <v>3389</v>
      </c>
      <c r="B367" s="21" t="s">
        <v>3383</v>
      </c>
      <c r="C367" s="21" t="s">
        <v>621</v>
      </c>
      <c r="D367" s="21" t="s">
        <v>621</v>
      </c>
      <c r="E367" s="21" t="s">
        <v>621</v>
      </c>
      <c r="F367" s="21" t="s">
        <v>621</v>
      </c>
      <c r="G367" s="21" t="s">
        <v>621</v>
      </c>
      <c r="H367" s="21" t="s">
        <v>621</v>
      </c>
      <c r="I367" s="21" t="s">
        <v>621</v>
      </c>
      <c r="J367" s="21" t="s">
        <v>621</v>
      </c>
      <c r="K367" s="21" t="s">
        <v>621</v>
      </c>
    </row>
    <row r="368" spans="1:11" x14ac:dyDescent="0.25">
      <c r="A368" s="20" t="s">
        <v>2609</v>
      </c>
      <c r="B368" s="21" t="s">
        <v>2604</v>
      </c>
      <c r="C368" s="21" t="s">
        <v>3390</v>
      </c>
      <c r="D368" s="21" t="s">
        <v>621</v>
      </c>
      <c r="E368" s="21" t="s">
        <v>621</v>
      </c>
      <c r="F368" s="21" t="s">
        <v>621</v>
      </c>
      <c r="G368" s="21" t="s">
        <v>621</v>
      </c>
      <c r="H368" s="21" t="s">
        <v>621</v>
      </c>
      <c r="I368" s="21" t="s">
        <v>621</v>
      </c>
      <c r="J368" s="21" t="s">
        <v>621</v>
      </c>
      <c r="K368" s="21" t="s">
        <v>621</v>
      </c>
    </row>
    <row r="369" spans="1:11" x14ac:dyDescent="0.25">
      <c r="A369" s="20" t="s">
        <v>3391</v>
      </c>
      <c r="B369" s="21" t="s">
        <v>3390</v>
      </c>
      <c r="C369" s="21" t="s">
        <v>621</v>
      </c>
      <c r="D369" s="21" t="s">
        <v>621</v>
      </c>
      <c r="E369" s="21" t="s">
        <v>621</v>
      </c>
      <c r="F369" s="21" t="s">
        <v>621</v>
      </c>
      <c r="G369" s="21" t="s">
        <v>621</v>
      </c>
      <c r="H369" s="21" t="s">
        <v>621</v>
      </c>
      <c r="I369" s="21" t="s">
        <v>621</v>
      </c>
      <c r="J369" s="21" t="s">
        <v>621</v>
      </c>
      <c r="K369" s="21" t="s">
        <v>621</v>
      </c>
    </row>
    <row r="370" spans="1:11" x14ac:dyDescent="0.25">
      <c r="A370" s="20" t="s">
        <v>3392</v>
      </c>
      <c r="B370" s="21" t="s">
        <v>3393</v>
      </c>
      <c r="C370" s="21" t="s">
        <v>621</v>
      </c>
      <c r="D370" s="21" t="s">
        <v>621</v>
      </c>
      <c r="E370" s="21" t="s">
        <v>621</v>
      </c>
      <c r="F370" s="21" t="s">
        <v>621</v>
      </c>
      <c r="G370" s="21" t="s">
        <v>621</v>
      </c>
      <c r="H370" s="21" t="s">
        <v>621</v>
      </c>
      <c r="I370" s="21" t="s">
        <v>621</v>
      </c>
      <c r="J370" s="21" t="s">
        <v>621</v>
      </c>
      <c r="K370" s="21" t="s">
        <v>621</v>
      </c>
    </row>
    <row r="371" spans="1:11" x14ac:dyDescent="0.25">
      <c r="A371" s="20" t="s">
        <v>3394</v>
      </c>
      <c r="B371" s="21" t="s">
        <v>3393</v>
      </c>
      <c r="C371" s="21" t="s">
        <v>621</v>
      </c>
      <c r="D371" s="21" t="s">
        <v>621</v>
      </c>
      <c r="E371" s="21" t="s">
        <v>621</v>
      </c>
      <c r="F371" s="21" t="s">
        <v>621</v>
      </c>
      <c r="G371" s="21" t="s">
        <v>621</v>
      </c>
      <c r="H371" s="21" t="s">
        <v>621</v>
      </c>
      <c r="I371" s="21" t="s">
        <v>621</v>
      </c>
      <c r="J371" s="21" t="s">
        <v>621</v>
      </c>
      <c r="K371" s="21" t="s">
        <v>621</v>
      </c>
    </row>
    <row r="372" spans="1:11" x14ac:dyDescent="0.25">
      <c r="A372" s="20" t="s">
        <v>3395</v>
      </c>
      <c r="B372" s="21" t="s">
        <v>3393</v>
      </c>
      <c r="C372" s="21" t="s">
        <v>621</v>
      </c>
      <c r="D372" s="21" t="s">
        <v>621</v>
      </c>
      <c r="E372" s="21" t="s">
        <v>621</v>
      </c>
      <c r="F372" s="21" t="s">
        <v>621</v>
      </c>
      <c r="G372" s="21" t="s">
        <v>621</v>
      </c>
      <c r="H372" s="21" t="s">
        <v>621</v>
      </c>
      <c r="I372" s="21" t="s">
        <v>621</v>
      </c>
      <c r="J372" s="21" t="s">
        <v>621</v>
      </c>
      <c r="K372" s="21" t="s">
        <v>621</v>
      </c>
    </row>
    <row r="373" spans="1:11" x14ac:dyDescent="0.25">
      <c r="A373" s="20" t="s">
        <v>3396</v>
      </c>
      <c r="B373" s="21" t="s">
        <v>3397</v>
      </c>
      <c r="C373" s="21" t="s">
        <v>621</v>
      </c>
      <c r="D373" s="21" t="s">
        <v>621</v>
      </c>
      <c r="E373" s="21" t="s">
        <v>621</v>
      </c>
      <c r="F373" s="21" t="s">
        <v>621</v>
      </c>
      <c r="G373" s="21" t="s">
        <v>621</v>
      </c>
      <c r="H373" s="21" t="s">
        <v>621</v>
      </c>
      <c r="I373" s="21" t="s">
        <v>621</v>
      </c>
      <c r="J373" s="21" t="s">
        <v>621</v>
      </c>
      <c r="K373" s="21" t="s">
        <v>621</v>
      </c>
    </row>
    <row r="374" spans="1:11" x14ac:dyDescent="0.25">
      <c r="A374" s="20" t="s">
        <v>3398</v>
      </c>
      <c r="B374" s="21" t="s">
        <v>3397</v>
      </c>
      <c r="C374" s="21" t="s">
        <v>3399</v>
      </c>
      <c r="D374" s="21" t="s">
        <v>621</v>
      </c>
      <c r="E374" s="21" t="s">
        <v>621</v>
      </c>
      <c r="F374" s="21" t="s">
        <v>621</v>
      </c>
      <c r="G374" s="21" t="s">
        <v>621</v>
      </c>
      <c r="H374" s="21" t="s">
        <v>621</v>
      </c>
      <c r="I374" s="21" t="s">
        <v>621</v>
      </c>
      <c r="J374" s="21" t="s">
        <v>621</v>
      </c>
      <c r="K374" s="21" t="s">
        <v>621</v>
      </c>
    </row>
    <row r="375" spans="1:11" x14ac:dyDescent="0.25">
      <c r="A375" s="20" t="s">
        <v>3400</v>
      </c>
      <c r="B375" s="21" t="s">
        <v>3399</v>
      </c>
      <c r="C375" s="21" t="s">
        <v>621</v>
      </c>
      <c r="D375" s="21" t="s">
        <v>621</v>
      </c>
      <c r="E375" s="21" t="s">
        <v>621</v>
      </c>
      <c r="F375" s="21" t="s">
        <v>621</v>
      </c>
      <c r="G375" s="21" t="s">
        <v>621</v>
      </c>
      <c r="H375" s="21" t="s">
        <v>621</v>
      </c>
      <c r="I375" s="21" t="s">
        <v>621</v>
      </c>
      <c r="J375" s="21" t="s">
        <v>621</v>
      </c>
      <c r="K375" s="21" t="s">
        <v>621</v>
      </c>
    </row>
    <row r="376" spans="1:11" x14ac:dyDescent="0.25">
      <c r="A376" s="20" t="s">
        <v>3401</v>
      </c>
      <c r="B376" s="21" t="s">
        <v>3390</v>
      </c>
      <c r="C376" s="21" t="s">
        <v>621</v>
      </c>
      <c r="D376" s="21" t="s">
        <v>621</v>
      </c>
      <c r="E376" s="21" t="s">
        <v>621</v>
      </c>
      <c r="F376" s="21" t="s">
        <v>621</v>
      </c>
      <c r="G376" s="21" t="s">
        <v>621</v>
      </c>
      <c r="H376" s="21" t="s">
        <v>621</v>
      </c>
      <c r="I376" s="21" t="s">
        <v>621</v>
      </c>
      <c r="J376" s="21" t="s">
        <v>621</v>
      </c>
      <c r="K376" s="21" t="s">
        <v>621</v>
      </c>
    </row>
    <row r="377" spans="1:11" x14ac:dyDescent="0.25">
      <c r="A377" s="20" t="s">
        <v>3402</v>
      </c>
      <c r="B377" s="21" t="s">
        <v>3403</v>
      </c>
      <c r="C377" s="21" t="s">
        <v>621</v>
      </c>
      <c r="D377" s="21" t="s">
        <v>621</v>
      </c>
      <c r="E377" s="21" t="s">
        <v>621</v>
      </c>
      <c r="F377" s="21" t="s">
        <v>621</v>
      </c>
      <c r="G377" s="21" t="s">
        <v>621</v>
      </c>
      <c r="H377" s="21" t="s">
        <v>621</v>
      </c>
      <c r="I377" s="21" t="s">
        <v>621</v>
      </c>
      <c r="J377" s="21" t="s">
        <v>621</v>
      </c>
      <c r="K377" s="21" t="s">
        <v>621</v>
      </c>
    </row>
    <row r="378" spans="1:11" x14ac:dyDescent="0.25">
      <c r="A378" s="20" t="s">
        <v>2610</v>
      </c>
      <c r="B378" s="21" t="s">
        <v>2530</v>
      </c>
      <c r="C378" s="21" t="s">
        <v>2531</v>
      </c>
      <c r="D378" s="21" t="s">
        <v>3404</v>
      </c>
      <c r="E378" s="21" t="s">
        <v>3259</v>
      </c>
      <c r="F378" s="21" t="s">
        <v>2987</v>
      </c>
      <c r="G378" s="21" t="s">
        <v>621</v>
      </c>
      <c r="H378" s="21" t="s">
        <v>621</v>
      </c>
      <c r="I378" s="21" t="s">
        <v>621</v>
      </c>
      <c r="J378" s="21" t="s">
        <v>621</v>
      </c>
      <c r="K378" s="21" t="s">
        <v>621</v>
      </c>
    </row>
    <row r="379" spans="1:11" x14ac:dyDescent="0.25">
      <c r="A379" s="20" t="s">
        <v>3405</v>
      </c>
      <c r="B379" s="21" t="s">
        <v>3404</v>
      </c>
      <c r="C379" s="21" t="s">
        <v>621</v>
      </c>
      <c r="D379" s="21" t="s">
        <v>621</v>
      </c>
      <c r="E379" s="21" t="s">
        <v>621</v>
      </c>
      <c r="F379" s="21" t="s">
        <v>621</v>
      </c>
      <c r="G379" s="21" t="s">
        <v>621</v>
      </c>
      <c r="H379" s="21" t="s">
        <v>621</v>
      </c>
      <c r="I379" s="21" t="s">
        <v>621</v>
      </c>
      <c r="J379" s="21" t="s">
        <v>621</v>
      </c>
      <c r="K379" s="21" t="s">
        <v>621</v>
      </c>
    </row>
    <row r="380" spans="1:11" x14ac:dyDescent="0.25">
      <c r="A380" s="20" t="s">
        <v>3406</v>
      </c>
      <c r="B380" s="21" t="s">
        <v>3403</v>
      </c>
      <c r="C380" s="21" t="s">
        <v>621</v>
      </c>
      <c r="D380" s="21" t="s">
        <v>621</v>
      </c>
      <c r="E380" s="21" t="s">
        <v>621</v>
      </c>
      <c r="F380" s="21" t="s">
        <v>621</v>
      </c>
      <c r="G380" s="21" t="s">
        <v>621</v>
      </c>
      <c r="H380" s="21" t="s">
        <v>621</v>
      </c>
      <c r="I380" s="21" t="s">
        <v>621</v>
      </c>
      <c r="J380" s="21" t="s">
        <v>621</v>
      </c>
      <c r="K380" s="21" t="s">
        <v>621</v>
      </c>
    </row>
    <row r="381" spans="1:11" x14ac:dyDescent="0.25">
      <c r="A381" s="20" t="s">
        <v>2611</v>
      </c>
      <c r="B381" s="21" t="s">
        <v>2612</v>
      </c>
      <c r="C381" s="21" t="s">
        <v>3407</v>
      </c>
      <c r="D381" s="21" t="s">
        <v>3408</v>
      </c>
      <c r="E381" s="21" t="s">
        <v>621</v>
      </c>
      <c r="F381" s="21" t="s">
        <v>621</v>
      </c>
      <c r="G381" s="21" t="s">
        <v>621</v>
      </c>
      <c r="H381" s="21" t="s">
        <v>621</v>
      </c>
      <c r="I381" s="21" t="s">
        <v>621</v>
      </c>
      <c r="J381" s="21" t="s">
        <v>621</v>
      </c>
      <c r="K381" s="21" t="s">
        <v>621</v>
      </c>
    </row>
    <row r="382" spans="1:11" x14ac:dyDescent="0.25">
      <c r="A382" s="20" t="s">
        <v>2613</v>
      </c>
      <c r="B382" s="21" t="s">
        <v>2614</v>
      </c>
      <c r="C382" s="21" t="s">
        <v>3409</v>
      </c>
      <c r="D382" s="21" t="s">
        <v>3410</v>
      </c>
      <c r="E382" s="21" t="s">
        <v>3411</v>
      </c>
      <c r="F382" s="21" t="s">
        <v>3412</v>
      </c>
      <c r="G382" s="21" t="s">
        <v>621</v>
      </c>
      <c r="H382" s="21" t="s">
        <v>621</v>
      </c>
      <c r="I382" s="21" t="s">
        <v>621</v>
      </c>
      <c r="J382" s="21" t="s">
        <v>621</v>
      </c>
      <c r="K382" s="21" t="s">
        <v>621</v>
      </c>
    </row>
    <row r="383" spans="1:11" x14ac:dyDescent="0.25">
      <c r="A383" s="20" t="s">
        <v>3413</v>
      </c>
      <c r="B383" s="21" t="s">
        <v>3414</v>
      </c>
      <c r="C383" s="21" t="s">
        <v>621</v>
      </c>
      <c r="D383" s="21" t="s">
        <v>621</v>
      </c>
      <c r="E383" s="21" t="s">
        <v>621</v>
      </c>
      <c r="F383" s="21" t="s">
        <v>621</v>
      </c>
      <c r="G383" s="21" t="s">
        <v>621</v>
      </c>
      <c r="H383" s="21" t="s">
        <v>621</v>
      </c>
      <c r="I383" s="21" t="s">
        <v>621</v>
      </c>
      <c r="J383" s="21" t="s">
        <v>621</v>
      </c>
      <c r="K383" s="21" t="s">
        <v>621</v>
      </c>
    </row>
    <row r="384" spans="1:11" x14ac:dyDescent="0.25">
      <c r="A384" s="20" t="s">
        <v>3415</v>
      </c>
      <c r="B384" s="21" t="s">
        <v>3416</v>
      </c>
      <c r="C384" s="21" t="s">
        <v>3417</v>
      </c>
      <c r="D384" s="21" t="s">
        <v>3418</v>
      </c>
      <c r="E384" s="21" t="s">
        <v>3419</v>
      </c>
      <c r="F384" s="21" t="s">
        <v>621</v>
      </c>
      <c r="G384" s="21" t="s">
        <v>621</v>
      </c>
      <c r="H384" s="21" t="s">
        <v>621</v>
      </c>
      <c r="I384" s="21" t="s">
        <v>621</v>
      </c>
      <c r="J384" s="21" t="s">
        <v>621</v>
      </c>
      <c r="K384" s="21" t="s">
        <v>621</v>
      </c>
    </row>
    <row r="385" spans="1:11" x14ac:dyDescent="0.25">
      <c r="A385" s="20" t="s">
        <v>3420</v>
      </c>
      <c r="B385" s="21" t="s">
        <v>3416</v>
      </c>
      <c r="C385" s="21" t="s">
        <v>3418</v>
      </c>
      <c r="D385" s="21" t="s">
        <v>621</v>
      </c>
      <c r="E385" s="21" t="s">
        <v>621</v>
      </c>
      <c r="F385" s="21" t="s">
        <v>621</v>
      </c>
      <c r="G385" s="21" t="s">
        <v>621</v>
      </c>
      <c r="H385" s="21" t="s">
        <v>621</v>
      </c>
      <c r="I385" s="21" t="s">
        <v>621</v>
      </c>
      <c r="J385" s="21" t="s">
        <v>621</v>
      </c>
      <c r="K385" s="21" t="s">
        <v>621</v>
      </c>
    </row>
    <row r="386" spans="1:11" x14ac:dyDescent="0.25">
      <c r="A386" s="20" t="s">
        <v>3421</v>
      </c>
      <c r="B386" s="21" t="s">
        <v>2754</v>
      </c>
      <c r="C386" s="21" t="s">
        <v>621</v>
      </c>
      <c r="D386" s="21" t="s">
        <v>621</v>
      </c>
      <c r="E386" s="21" t="s">
        <v>621</v>
      </c>
      <c r="F386" s="21" t="s">
        <v>621</v>
      </c>
      <c r="G386" s="21" t="s">
        <v>621</v>
      </c>
      <c r="H386" s="21" t="s">
        <v>621</v>
      </c>
      <c r="I386" s="21" t="s">
        <v>621</v>
      </c>
      <c r="J386" s="21" t="s">
        <v>621</v>
      </c>
      <c r="K386" s="21" t="s">
        <v>621</v>
      </c>
    </row>
    <row r="387" spans="1:11" x14ac:dyDescent="0.25">
      <c r="A387" s="20" t="s">
        <v>3422</v>
      </c>
      <c r="B387" s="21" t="s">
        <v>3423</v>
      </c>
      <c r="C387" s="21" t="s">
        <v>621</v>
      </c>
      <c r="D387" s="21" t="s">
        <v>621</v>
      </c>
      <c r="E387" s="21" t="s">
        <v>621</v>
      </c>
      <c r="F387" s="21" t="s">
        <v>621</v>
      </c>
      <c r="G387" s="21" t="s">
        <v>621</v>
      </c>
      <c r="H387" s="21" t="s">
        <v>621</v>
      </c>
      <c r="I387" s="21" t="s">
        <v>621</v>
      </c>
      <c r="J387" s="21" t="s">
        <v>621</v>
      </c>
      <c r="K387" s="21" t="s">
        <v>621</v>
      </c>
    </row>
    <row r="388" spans="1:11" x14ac:dyDescent="0.25">
      <c r="A388" s="20" t="s">
        <v>3424</v>
      </c>
      <c r="B388" s="21" t="s">
        <v>3425</v>
      </c>
      <c r="C388" s="21" t="s">
        <v>621</v>
      </c>
      <c r="D388" s="21" t="s">
        <v>621</v>
      </c>
      <c r="E388" s="21" t="s">
        <v>621</v>
      </c>
      <c r="F388" s="21" t="s">
        <v>621</v>
      </c>
      <c r="G388" s="21" t="s">
        <v>621</v>
      </c>
      <c r="H388" s="21" t="s">
        <v>621</v>
      </c>
      <c r="I388" s="21" t="s">
        <v>621</v>
      </c>
      <c r="J388" s="21" t="s">
        <v>621</v>
      </c>
      <c r="K388" s="21" t="s">
        <v>621</v>
      </c>
    </row>
    <row r="389" spans="1:11" x14ac:dyDescent="0.25">
      <c r="A389" s="20" t="s">
        <v>3426</v>
      </c>
      <c r="B389" s="21" t="s">
        <v>3427</v>
      </c>
      <c r="C389" s="21" t="s">
        <v>621</v>
      </c>
      <c r="D389" s="21" t="s">
        <v>621</v>
      </c>
      <c r="E389" s="21" t="s">
        <v>621</v>
      </c>
      <c r="F389" s="21" t="s">
        <v>621</v>
      </c>
      <c r="G389" s="21" t="s">
        <v>621</v>
      </c>
      <c r="H389" s="21" t="s">
        <v>621</v>
      </c>
      <c r="I389" s="21" t="s">
        <v>621</v>
      </c>
      <c r="J389" s="21" t="s">
        <v>621</v>
      </c>
      <c r="K389" s="21" t="s">
        <v>621</v>
      </c>
    </row>
    <row r="390" spans="1:11" x14ac:dyDescent="0.25">
      <c r="A390" s="20" t="s">
        <v>3428</v>
      </c>
      <c r="B390" s="21" t="s">
        <v>3429</v>
      </c>
      <c r="C390" s="21" t="s">
        <v>621</v>
      </c>
      <c r="D390" s="21" t="s">
        <v>621</v>
      </c>
      <c r="E390" s="21" t="s">
        <v>621</v>
      </c>
      <c r="F390" s="21" t="s">
        <v>621</v>
      </c>
      <c r="G390" s="21" t="s">
        <v>621</v>
      </c>
      <c r="H390" s="21" t="s">
        <v>621</v>
      </c>
      <c r="I390" s="21" t="s">
        <v>621</v>
      </c>
      <c r="J390" s="21" t="s">
        <v>621</v>
      </c>
      <c r="K390" s="21" t="s">
        <v>621</v>
      </c>
    </row>
    <row r="391" spans="1:11" x14ac:dyDescent="0.25">
      <c r="A391" s="20" t="s">
        <v>3430</v>
      </c>
      <c r="B391" s="21" t="s">
        <v>3425</v>
      </c>
      <c r="C391" s="21" t="s">
        <v>3431</v>
      </c>
      <c r="D391" s="21" t="s">
        <v>621</v>
      </c>
      <c r="E391" s="21" t="s">
        <v>621</v>
      </c>
      <c r="F391" s="21" t="s">
        <v>621</v>
      </c>
      <c r="G391" s="21" t="s">
        <v>621</v>
      </c>
      <c r="H391" s="21" t="s">
        <v>621</v>
      </c>
      <c r="I391" s="21" t="s">
        <v>621</v>
      </c>
      <c r="J391" s="21" t="s">
        <v>621</v>
      </c>
      <c r="K391" s="21" t="s">
        <v>621</v>
      </c>
    </row>
    <row r="392" spans="1:11" x14ac:dyDescent="0.25">
      <c r="A392" s="20" t="s">
        <v>3432</v>
      </c>
      <c r="B392" s="21" t="s">
        <v>3429</v>
      </c>
      <c r="C392" s="21" t="s">
        <v>621</v>
      </c>
      <c r="D392" s="21" t="s">
        <v>621</v>
      </c>
      <c r="E392" s="21" t="s">
        <v>621</v>
      </c>
      <c r="F392" s="21" t="s">
        <v>621</v>
      </c>
      <c r="G392" s="21" t="s">
        <v>621</v>
      </c>
      <c r="H392" s="21" t="s">
        <v>621</v>
      </c>
      <c r="I392" s="21" t="s">
        <v>621</v>
      </c>
      <c r="J392" s="21" t="s">
        <v>621</v>
      </c>
      <c r="K392" s="21" t="s">
        <v>621</v>
      </c>
    </row>
    <row r="393" spans="1:11" x14ac:dyDescent="0.25">
      <c r="A393" s="20" t="s">
        <v>3433</v>
      </c>
      <c r="B393" s="21" t="s">
        <v>3434</v>
      </c>
      <c r="C393" s="21" t="s">
        <v>621</v>
      </c>
      <c r="D393" s="21" t="s">
        <v>621</v>
      </c>
      <c r="E393" s="21" t="s">
        <v>621</v>
      </c>
      <c r="F393" s="21" t="s">
        <v>621</v>
      </c>
      <c r="G393" s="21" t="s">
        <v>621</v>
      </c>
      <c r="H393" s="21" t="s">
        <v>621</v>
      </c>
      <c r="I393" s="21" t="s">
        <v>621</v>
      </c>
      <c r="J393" s="21" t="s">
        <v>621</v>
      </c>
      <c r="K393" s="21" t="s">
        <v>621</v>
      </c>
    </row>
    <row r="394" spans="1:11" x14ac:dyDescent="0.25">
      <c r="A394" s="20" t="s">
        <v>3435</v>
      </c>
      <c r="B394" s="21" t="s">
        <v>2754</v>
      </c>
      <c r="C394" s="21" t="s">
        <v>621</v>
      </c>
      <c r="D394" s="21" t="s">
        <v>621</v>
      </c>
      <c r="E394" s="21" t="s">
        <v>621</v>
      </c>
      <c r="F394" s="21" t="s">
        <v>621</v>
      </c>
      <c r="G394" s="21" t="s">
        <v>621</v>
      </c>
      <c r="H394" s="21" t="s">
        <v>621</v>
      </c>
      <c r="I394" s="21" t="s">
        <v>621</v>
      </c>
      <c r="J394" s="21" t="s">
        <v>621</v>
      </c>
      <c r="K394" s="21" t="s">
        <v>621</v>
      </c>
    </row>
    <row r="395" spans="1:11" x14ac:dyDescent="0.25">
      <c r="A395" s="20" t="s">
        <v>2615</v>
      </c>
      <c r="B395" s="21" t="s">
        <v>2616</v>
      </c>
      <c r="C395" s="21" t="s">
        <v>621</v>
      </c>
      <c r="D395" s="21" t="s">
        <v>621</v>
      </c>
      <c r="E395" s="21" t="s">
        <v>621</v>
      </c>
      <c r="F395" s="21" t="s">
        <v>621</v>
      </c>
      <c r="G395" s="21" t="s">
        <v>621</v>
      </c>
      <c r="H395" s="21" t="s">
        <v>621</v>
      </c>
      <c r="I395" s="21" t="s">
        <v>621</v>
      </c>
      <c r="J395" s="21" t="s">
        <v>621</v>
      </c>
      <c r="K395" s="21" t="s">
        <v>621</v>
      </c>
    </row>
    <row r="396" spans="1:11" x14ac:dyDescent="0.25">
      <c r="A396" s="20" t="s">
        <v>2617</v>
      </c>
      <c r="B396" s="21" t="s">
        <v>2574</v>
      </c>
      <c r="C396" s="21" t="s">
        <v>2618</v>
      </c>
      <c r="D396" s="21" t="s">
        <v>621</v>
      </c>
      <c r="E396" s="21" t="s">
        <v>621</v>
      </c>
      <c r="F396" s="21" t="s">
        <v>621</v>
      </c>
      <c r="G396" s="21" t="s">
        <v>621</v>
      </c>
      <c r="H396" s="21" t="s">
        <v>621</v>
      </c>
      <c r="I396" s="21" t="s">
        <v>621</v>
      </c>
      <c r="J396" s="21" t="s">
        <v>621</v>
      </c>
      <c r="K396" s="21" t="s">
        <v>621</v>
      </c>
    </row>
    <row r="397" spans="1:11" x14ac:dyDescent="0.25">
      <c r="A397" s="20" t="s">
        <v>2619</v>
      </c>
      <c r="B397" s="21" t="s">
        <v>2620</v>
      </c>
      <c r="C397" s="21" t="s">
        <v>2621</v>
      </c>
      <c r="D397" s="21" t="s">
        <v>2622</v>
      </c>
      <c r="E397" s="21" t="s">
        <v>2568</v>
      </c>
      <c r="F397" s="21" t="s">
        <v>2569</v>
      </c>
      <c r="G397" s="21" t="s">
        <v>2623</v>
      </c>
      <c r="H397" s="21" t="s">
        <v>2624</v>
      </c>
      <c r="I397" s="21" t="s">
        <v>621</v>
      </c>
      <c r="J397" s="21" t="s">
        <v>621</v>
      </c>
      <c r="K397" s="21" t="s">
        <v>621</v>
      </c>
    </row>
    <row r="398" spans="1:11" x14ac:dyDescent="0.25">
      <c r="A398" s="20" t="s">
        <v>3436</v>
      </c>
      <c r="B398" s="21" t="s">
        <v>2753</v>
      </c>
      <c r="C398" s="21" t="s">
        <v>621</v>
      </c>
      <c r="D398" s="21" t="s">
        <v>621</v>
      </c>
      <c r="E398" s="21" t="s">
        <v>621</v>
      </c>
      <c r="F398" s="21" t="s">
        <v>621</v>
      </c>
      <c r="G398" s="21" t="s">
        <v>621</v>
      </c>
      <c r="H398" s="21" t="s">
        <v>621</v>
      </c>
      <c r="I398" s="21" t="s">
        <v>621</v>
      </c>
      <c r="J398" s="21" t="s">
        <v>621</v>
      </c>
      <c r="K398" s="21" t="s">
        <v>621</v>
      </c>
    </row>
    <row r="399" spans="1:11" x14ac:dyDescent="0.25">
      <c r="A399" s="20" t="s">
        <v>3437</v>
      </c>
      <c r="B399" s="21" t="s">
        <v>3438</v>
      </c>
      <c r="C399" s="21" t="s">
        <v>621</v>
      </c>
      <c r="D399" s="21" t="s">
        <v>621</v>
      </c>
      <c r="E399" s="21" t="s">
        <v>621</v>
      </c>
      <c r="F399" s="21" t="s">
        <v>621</v>
      </c>
      <c r="G399" s="21" t="s">
        <v>621</v>
      </c>
      <c r="H399" s="21" t="s">
        <v>621</v>
      </c>
      <c r="I399" s="21" t="s">
        <v>621</v>
      </c>
      <c r="J399" s="21" t="s">
        <v>621</v>
      </c>
      <c r="K399" s="21" t="s">
        <v>621</v>
      </c>
    </row>
    <row r="400" spans="1:11" x14ac:dyDescent="0.25">
      <c r="A400" s="20" t="s">
        <v>2625</v>
      </c>
      <c r="B400" s="21" t="s">
        <v>2626</v>
      </c>
      <c r="C400" s="21" t="s">
        <v>3439</v>
      </c>
      <c r="D400" s="21" t="s">
        <v>621</v>
      </c>
      <c r="E400" s="21" t="s">
        <v>621</v>
      </c>
      <c r="F400" s="21" t="s">
        <v>621</v>
      </c>
      <c r="G400" s="21" t="s">
        <v>621</v>
      </c>
      <c r="H400" s="21" t="s">
        <v>621</v>
      </c>
      <c r="I400" s="21" t="s">
        <v>621</v>
      </c>
      <c r="J400" s="21" t="s">
        <v>621</v>
      </c>
      <c r="K400" s="21" t="s">
        <v>621</v>
      </c>
    </row>
    <row r="401" spans="1:11" x14ac:dyDescent="0.25">
      <c r="A401" s="20" t="s">
        <v>3440</v>
      </c>
      <c r="B401" s="21" t="s">
        <v>3441</v>
      </c>
      <c r="C401" s="21" t="s">
        <v>621</v>
      </c>
      <c r="D401" s="21" t="s">
        <v>621</v>
      </c>
      <c r="E401" s="21" t="s">
        <v>621</v>
      </c>
      <c r="F401" s="21" t="s">
        <v>621</v>
      </c>
      <c r="G401" s="21" t="s">
        <v>621</v>
      </c>
      <c r="H401" s="21" t="s">
        <v>621</v>
      </c>
      <c r="I401" s="21" t="s">
        <v>621</v>
      </c>
      <c r="J401" s="21" t="s">
        <v>621</v>
      </c>
      <c r="K401" s="21" t="s">
        <v>621</v>
      </c>
    </row>
    <row r="402" spans="1:11" x14ac:dyDescent="0.25">
      <c r="A402" s="20" t="s">
        <v>2627</v>
      </c>
      <c r="B402" s="21" t="s">
        <v>2433</v>
      </c>
      <c r="C402" s="21" t="s">
        <v>2628</v>
      </c>
      <c r="D402" s="21" t="s">
        <v>2629</v>
      </c>
      <c r="E402" s="21" t="s">
        <v>621</v>
      </c>
      <c r="F402" s="21" t="s">
        <v>621</v>
      </c>
      <c r="G402" s="21" t="s">
        <v>621</v>
      </c>
      <c r="H402" s="21" t="s">
        <v>621</v>
      </c>
      <c r="I402" s="21" t="s">
        <v>621</v>
      </c>
      <c r="J402" s="21" t="s">
        <v>621</v>
      </c>
      <c r="K402" s="21" t="s">
        <v>621</v>
      </c>
    </row>
    <row r="403" spans="1:11" x14ac:dyDescent="0.25">
      <c r="A403" s="20" t="s">
        <v>2630</v>
      </c>
      <c r="B403" s="21" t="s">
        <v>2435</v>
      </c>
      <c r="C403" s="21" t="s">
        <v>621</v>
      </c>
      <c r="D403" s="21" t="s">
        <v>621</v>
      </c>
      <c r="E403" s="21" t="s">
        <v>621</v>
      </c>
      <c r="F403" s="21" t="s">
        <v>621</v>
      </c>
      <c r="G403" s="21" t="s">
        <v>621</v>
      </c>
      <c r="H403" s="21" t="s">
        <v>621</v>
      </c>
      <c r="I403" s="21" t="s">
        <v>621</v>
      </c>
      <c r="J403" s="21" t="s">
        <v>621</v>
      </c>
      <c r="K403" s="21" t="s">
        <v>621</v>
      </c>
    </row>
    <row r="404" spans="1:11" x14ac:dyDescent="0.25">
      <c r="A404" s="20" t="s">
        <v>3442</v>
      </c>
      <c r="B404" s="21" t="s">
        <v>3443</v>
      </c>
      <c r="C404" s="21" t="s">
        <v>621</v>
      </c>
      <c r="D404" s="21" t="s">
        <v>621</v>
      </c>
      <c r="E404" s="21" t="s">
        <v>621</v>
      </c>
      <c r="F404" s="21" t="s">
        <v>621</v>
      </c>
      <c r="G404" s="21" t="s">
        <v>621</v>
      </c>
      <c r="H404" s="21" t="s">
        <v>621</v>
      </c>
      <c r="I404" s="21" t="s">
        <v>621</v>
      </c>
      <c r="J404" s="21" t="s">
        <v>621</v>
      </c>
      <c r="K404" s="21" t="s">
        <v>621</v>
      </c>
    </row>
    <row r="405" spans="1:11" x14ac:dyDescent="0.25">
      <c r="A405" s="20" t="s">
        <v>3444</v>
      </c>
      <c r="B405" s="21" t="s">
        <v>3445</v>
      </c>
      <c r="C405" s="21" t="s">
        <v>621</v>
      </c>
      <c r="D405" s="21" t="s">
        <v>621</v>
      </c>
      <c r="E405" s="21" t="s">
        <v>621</v>
      </c>
      <c r="F405" s="21" t="s">
        <v>621</v>
      </c>
      <c r="G405" s="21" t="s">
        <v>621</v>
      </c>
      <c r="H405" s="21" t="s">
        <v>621</v>
      </c>
      <c r="I405" s="21" t="s">
        <v>621</v>
      </c>
      <c r="J405" s="21" t="s">
        <v>621</v>
      </c>
      <c r="K405" s="21" t="s">
        <v>621</v>
      </c>
    </row>
    <row r="406" spans="1:11" x14ac:dyDescent="0.25">
      <c r="A406" s="20" t="s">
        <v>3446</v>
      </c>
      <c r="B406" s="21" t="s">
        <v>3445</v>
      </c>
      <c r="C406" s="21" t="s">
        <v>621</v>
      </c>
      <c r="D406" s="21" t="s">
        <v>621</v>
      </c>
      <c r="E406" s="21" t="s">
        <v>621</v>
      </c>
      <c r="F406" s="21" t="s">
        <v>621</v>
      </c>
      <c r="G406" s="21" t="s">
        <v>621</v>
      </c>
      <c r="H406" s="21" t="s">
        <v>621</v>
      </c>
      <c r="I406" s="21" t="s">
        <v>621</v>
      </c>
      <c r="J406" s="21" t="s">
        <v>621</v>
      </c>
      <c r="K406" s="21" t="s">
        <v>621</v>
      </c>
    </row>
    <row r="407" spans="1:11" x14ac:dyDescent="0.25">
      <c r="A407" s="20" t="s">
        <v>2631</v>
      </c>
      <c r="B407" s="21" t="s">
        <v>2616</v>
      </c>
      <c r="C407" s="21" t="s">
        <v>3447</v>
      </c>
      <c r="D407" s="21" t="s">
        <v>3448</v>
      </c>
      <c r="E407" s="21" t="s">
        <v>621</v>
      </c>
      <c r="F407" s="21" t="s">
        <v>621</v>
      </c>
      <c r="G407" s="21" t="s">
        <v>621</v>
      </c>
      <c r="H407" s="21" t="s">
        <v>621</v>
      </c>
      <c r="I407" s="21" t="s">
        <v>621</v>
      </c>
      <c r="J407" s="21" t="s">
        <v>621</v>
      </c>
      <c r="K407" s="21" t="s">
        <v>621</v>
      </c>
    </row>
    <row r="408" spans="1:11" x14ac:dyDescent="0.25">
      <c r="A408" s="20" t="s">
        <v>3449</v>
      </c>
      <c r="B408" s="21" t="s">
        <v>3450</v>
      </c>
      <c r="C408" s="21" t="s">
        <v>621</v>
      </c>
      <c r="D408" s="21" t="s">
        <v>621</v>
      </c>
      <c r="E408" s="21" t="s">
        <v>621</v>
      </c>
      <c r="F408" s="21" t="s">
        <v>621</v>
      </c>
      <c r="G408" s="21" t="s">
        <v>621</v>
      </c>
      <c r="H408" s="21" t="s">
        <v>621</v>
      </c>
      <c r="I408" s="21" t="s">
        <v>621</v>
      </c>
      <c r="J408" s="21" t="s">
        <v>621</v>
      </c>
      <c r="K408" s="21" t="s">
        <v>621</v>
      </c>
    </row>
    <row r="409" spans="1:11" x14ac:dyDescent="0.25">
      <c r="A409" s="20" t="s">
        <v>3451</v>
      </c>
      <c r="B409" s="21" t="s">
        <v>3452</v>
      </c>
      <c r="C409" s="21" t="s">
        <v>3453</v>
      </c>
      <c r="D409" s="21" t="s">
        <v>621</v>
      </c>
      <c r="E409" s="21" t="s">
        <v>621</v>
      </c>
      <c r="F409" s="21" t="s">
        <v>621</v>
      </c>
      <c r="G409" s="21" t="s">
        <v>621</v>
      </c>
      <c r="H409" s="21" t="s">
        <v>621</v>
      </c>
      <c r="I409" s="21" t="s">
        <v>621</v>
      </c>
      <c r="J409" s="21" t="s">
        <v>621</v>
      </c>
      <c r="K409" s="21" t="s">
        <v>621</v>
      </c>
    </row>
    <row r="410" spans="1:11" x14ac:dyDescent="0.25">
      <c r="A410" s="20" t="s">
        <v>2632</v>
      </c>
      <c r="B410" s="21" t="s">
        <v>2550</v>
      </c>
      <c r="C410" s="21" t="s">
        <v>2551</v>
      </c>
      <c r="D410" s="21" t="s">
        <v>621</v>
      </c>
      <c r="E410" s="21" t="s">
        <v>621</v>
      </c>
      <c r="F410" s="21" t="s">
        <v>621</v>
      </c>
      <c r="G410" s="21" t="s">
        <v>621</v>
      </c>
      <c r="H410" s="21" t="s">
        <v>621</v>
      </c>
      <c r="I410" s="21" t="s">
        <v>621</v>
      </c>
      <c r="J410" s="21" t="s">
        <v>621</v>
      </c>
      <c r="K410" s="21" t="s">
        <v>621</v>
      </c>
    </row>
    <row r="411" spans="1:11" x14ac:dyDescent="0.25">
      <c r="A411" s="20" t="s">
        <v>3454</v>
      </c>
      <c r="B411" s="21" t="s">
        <v>3044</v>
      </c>
      <c r="C411" s="21" t="s">
        <v>3045</v>
      </c>
      <c r="D411" s="21" t="s">
        <v>621</v>
      </c>
      <c r="E411" s="21" t="s">
        <v>621</v>
      </c>
      <c r="F411" s="21" t="s">
        <v>621</v>
      </c>
      <c r="G411" s="21" t="s">
        <v>621</v>
      </c>
      <c r="H411" s="21" t="s">
        <v>621</v>
      </c>
      <c r="I411" s="21" t="s">
        <v>621</v>
      </c>
      <c r="J411" s="21" t="s">
        <v>621</v>
      </c>
      <c r="K411" s="21" t="s">
        <v>621</v>
      </c>
    </row>
    <row r="412" spans="1:11" x14ac:dyDescent="0.25">
      <c r="A412" s="20" t="s">
        <v>3455</v>
      </c>
      <c r="B412" s="21" t="s">
        <v>3456</v>
      </c>
      <c r="C412" s="21" t="s">
        <v>621</v>
      </c>
      <c r="D412" s="21" t="s">
        <v>621</v>
      </c>
      <c r="E412" s="21" t="s">
        <v>621</v>
      </c>
      <c r="F412" s="21" t="s">
        <v>621</v>
      </c>
      <c r="G412" s="21" t="s">
        <v>621</v>
      </c>
      <c r="H412" s="21" t="s">
        <v>621</v>
      </c>
      <c r="I412" s="21" t="s">
        <v>621</v>
      </c>
      <c r="J412" s="21" t="s">
        <v>621</v>
      </c>
      <c r="K412" s="21" t="s">
        <v>621</v>
      </c>
    </row>
    <row r="413" spans="1:11" x14ac:dyDescent="0.25">
      <c r="A413" s="20" t="s">
        <v>3457</v>
      </c>
      <c r="B413" s="21" t="s">
        <v>3458</v>
      </c>
      <c r="C413" s="21" t="s">
        <v>621</v>
      </c>
      <c r="D413" s="21" t="s">
        <v>621</v>
      </c>
      <c r="E413" s="21" t="s">
        <v>621</v>
      </c>
      <c r="F413" s="21" t="s">
        <v>621</v>
      </c>
      <c r="G413" s="21" t="s">
        <v>621</v>
      </c>
      <c r="H413" s="21" t="s">
        <v>621</v>
      </c>
      <c r="I413" s="21" t="s">
        <v>621</v>
      </c>
      <c r="J413" s="21" t="s">
        <v>621</v>
      </c>
      <c r="K413" s="21" t="s">
        <v>621</v>
      </c>
    </row>
    <row r="414" spans="1:11" x14ac:dyDescent="0.25">
      <c r="A414" s="20" t="s">
        <v>3459</v>
      </c>
      <c r="B414" s="21" t="s">
        <v>3460</v>
      </c>
      <c r="C414" s="21" t="s">
        <v>621</v>
      </c>
      <c r="D414" s="21" t="s">
        <v>621</v>
      </c>
      <c r="E414" s="21" t="s">
        <v>621</v>
      </c>
      <c r="F414" s="21" t="s">
        <v>621</v>
      </c>
      <c r="G414" s="21" t="s">
        <v>621</v>
      </c>
      <c r="H414" s="21" t="s">
        <v>621</v>
      </c>
      <c r="I414" s="21" t="s">
        <v>621</v>
      </c>
      <c r="J414" s="21" t="s">
        <v>621</v>
      </c>
      <c r="K414" s="21" t="s">
        <v>621</v>
      </c>
    </row>
    <row r="415" spans="1:11" x14ac:dyDescent="0.25">
      <c r="A415" s="20" t="s">
        <v>3461</v>
      </c>
      <c r="B415" s="21" t="s">
        <v>3051</v>
      </c>
      <c r="C415" s="21" t="s">
        <v>3052</v>
      </c>
      <c r="D415" s="21" t="s">
        <v>3462</v>
      </c>
      <c r="E415" s="21" t="s">
        <v>621</v>
      </c>
      <c r="F415" s="21" t="s">
        <v>621</v>
      </c>
      <c r="G415" s="21" t="s">
        <v>621</v>
      </c>
      <c r="H415" s="21" t="s">
        <v>621</v>
      </c>
      <c r="I415" s="21" t="s">
        <v>621</v>
      </c>
      <c r="J415" s="21" t="s">
        <v>621</v>
      </c>
      <c r="K415" s="21" t="s">
        <v>621</v>
      </c>
    </row>
    <row r="416" spans="1:11" x14ac:dyDescent="0.25">
      <c r="A416" s="20" t="s">
        <v>3463</v>
      </c>
      <c r="B416" s="21" t="s">
        <v>2968</v>
      </c>
      <c r="C416" s="21" t="s">
        <v>2967</v>
      </c>
      <c r="D416" s="21" t="s">
        <v>621</v>
      </c>
      <c r="E416" s="21" t="s">
        <v>621</v>
      </c>
      <c r="F416" s="21" t="s">
        <v>621</v>
      </c>
      <c r="G416" s="21" t="s">
        <v>621</v>
      </c>
      <c r="H416" s="21" t="s">
        <v>621</v>
      </c>
      <c r="I416" s="21" t="s">
        <v>621</v>
      </c>
      <c r="J416" s="21" t="s">
        <v>621</v>
      </c>
      <c r="K416" s="21" t="s">
        <v>621</v>
      </c>
    </row>
    <row r="417" spans="1:11" x14ac:dyDescent="0.25">
      <c r="A417" s="20" t="s">
        <v>3464</v>
      </c>
      <c r="B417" s="21" t="s">
        <v>3465</v>
      </c>
      <c r="C417" s="21" t="s">
        <v>621</v>
      </c>
      <c r="D417" s="21" t="s">
        <v>621</v>
      </c>
      <c r="E417" s="21" t="s">
        <v>621</v>
      </c>
      <c r="F417" s="21" t="s">
        <v>621</v>
      </c>
      <c r="G417" s="21" t="s">
        <v>621</v>
      </c>
      <c r="H417" s="21" t="s">
        <v>621</v>
      </c>
      <c r="I417" s="21" t="s">
        <v>621</v>
      </c>
      <c r="J417" s="21" t="s">
        <v>621</v>
      </c>
      <c r="K417" s="21" t="s">
        <v>621</v>
      </c>
    </row>
    <row r="418" spans="1:11" x14ac:dyDescent="0.25">
      <c r="A418" s="20" t="s">
        <v>3466</v>
      </c>
      <c r="B418" s="21" t="s">
        <v>3467</v>
      </c>
      <c r="C418" s="21" t="s">
        <v>621</v>
      </c>
      <c r="D418" s="21" t="s">
        <v>621</v>
      </c>
      <c r="E418" s="21" t="s">
        <v>621</v>
      </c>
      <c r="F418" s="21" t="s">
        <v>621</v>
      </c>
      <c r="G418" s="21" t="s">
        <v>621</v>
      </c>
      <c r="H418" s="21" t="s">
        <v>621</v>
      </c>
      <c r="I418" s="21" t="s">
        <v>621</v>
      </c>
      <c r="J418" s="21" t="s">
        <v>621</v>
      </c>
      <c r="K418" s="21" t="s">
        <v>621</v>
      </c>
    </row>
    <row r="419" spans="1:11" x14ac:dyDescent="0.25">
      <c r="A419" s="20" t="s">
        <v>2633</v>
      </c>
      <c r="B419" s="21" t="s">
        <v>2444</v>
      </c>
      <c r="C419" s="21" t="s">
        <v>3468</v>
      </c>
      <c r="D419" s="21" t="s">
        <v>621</v>
      </c>
      <c r="E419" s="21" t="s">
        <v>621</v>
      </c>
      <c r="F419" s="21" t="s">
        <v>621</v>
      </c>
      <c r="G419" s="21" t="s">
        <v>621</v>
      </c>
      <c r="H419" s="21" t="s">
        <v>621</v>
      </c>
      <c r="I419" s="21" t="s">
        <v>621</v>
      </c>
      <c r="J419" s="21" t="s">
        <v>621</v>
      </c>
      <c r="K419" s="21" t="s">
        <v>621</v>
      </c>
    </row>
    <row r="420" spans="1:11" x14ac:dyDescent="0.25">
      <c r="A420" s="20" t="s">
        <v>2634</v>
      </c>
      <c r="B420" s="21" t="s">
        <v>2444</v>
      </c>
      <c r="C420" s="21" t="s">
        <v>3469</v>
      </c>
      <c r="D420" s="21" t="s">
        <v>3470</v>
      </c>
      <c r="E420" s="21" t="s">
        <v>621</v>
      </c>
      <c r="F420" s="21" t="s">
        <v>621</v>
      </c>
      <c r="G420" s="21" t="s">
        <v>621</v>
      </c>
      <c r="H420" s="21" t="s">
        <v>621</v>
      </c>
      <c r="I420" s="21" t="s">
        <v>621</v>
      </c>
      <c r="J420" s="21" t="s">
        <v>621</v>
      </c>
      <c r="K420" s="21" t="s">
        <v>621</v>
      </c>
    </row>
    <row r="421" spans="1:11" x14ac:dyDescent="0.25">
      <c r="A421" s="20" t="s">
        <v>2635</v>
      </c>
      <c r="B421" s="21" t="s">
        <v>2636</v>
      </c>
      <c r="C421" s="21" t="s">
        <v>3471</v>
      </c>
      <c r="D421" s="21" t="s">
        <v>621</v>
      </c>
      <c r="E421" s="21" t="s">
        <v>621</v>
      </c>
      <c r="F421" s="21" t="s">
        <v>621</v>
      </c>
      <c r="G421" s="21" t="s">
        <v>621</v>
      </c>
      <c r="H421" s="21" t="s">
        <v>621</v>
      </c>
      <c r="I421" s="21" t="s">
        <v>621</v>
      </c>
      <c r="J421" s="21" t="s">
        <v>621</v>
      </c>
      <c r="K421" s="21" t="s">
        <v>621</v>
      </c>
    </row>
    <row r="422" spans="1:11" x14ac:dyDescent="0.25">
      <c r="A422" s="20" t="s">
        <v>3472</v>
      </c>
      <c r="B422" s="21" t="s">
        <v>3469</v>
      </c>
      <c r="C422" s="21" t="s">
        <v>3470</v>
      </c>
      <c r="D422" s="21" t="s">
        <v>621</v>
      </c>
      <c r="E422" s="21" t="s">
        <v>621</v>
      </c>
      <c r="F422" s="21" t="s">
        <v>621</v>
      </c>
      <c r="G422" s="21" t="s">
        <v>621</v>
      </c>
      <c r="H422" s="21" t="s">
        <v>621</v>
      </c>
      <c r="I422" s="21" t="s">
        <v>621</v>
      </c>
      <c r="J422" s="21" t="s">
        <v>621</v>
      </c>
      <c r="K422" s="21" t="s">
        <v>621</v>
      </c>
    </row>
    <row r="423" spans="1:11" x14ac:dyDescent="0.25">
      <c r="A423" s="20" t="s">
        <v>3473</v>
      </c>
      <c r="B423" s="21" t="s">
        <v>3469</v>
      </c>
      <c r="C423" s="21" t="s">
        <v>3474</v>
      </c>
      <c r="D423" s="21" t="s">
        <v>621</v>
      </c>
      <c r="E423" s="21" t="s">
        <v>621</v>
      </c>
      <c r="F423" s="21" t="s">
        <v>621</v>
      </c>
      <c r="G423" s="21" t="s">
        <v>621</v>
      </c>
      <c r="H423" s="21" t="s">
        <v>621</v>
      </c>
      <c r="I423" s="21" t="s">
        <v>621</v>
      </c>
      <c r="J423" s="21" t="s">
        <v>621</v>
      </c>
      <c r="K423" s="21" t="s">
        <v>621</v>
      </c>
    </row>
    <row r="424" spans="1:11" x14ac:dyDescent="0.25">
      <c r="A424" s="20" t="s">
        <v>3475</v>
      </c>
      <c r="B424" s="21" t="s">
        <v>3476</v>
      </c>
      <c r="C424" s="21" t="s">
        <v>621</v>
      </c>
      <c r="D424" s="21" t="s">
        <v>621</v>
      </c>
      <c r="E424" s="21" t="s">
        <v>621</v>
      </c>
      <c r="F424" s="21" t="s">
        <v>621</v>
      </c>
      <c r="G424" s="21" t="s">
        <v>621</v>
      </c>
      <c r="H424" s="21" t="s">
        <v>621</v>
      </c>
      <c r="I424" s="21" t="s">
        <v>621</v>
      </c>
      <c r="J424" s="21" t="s">
        <v>621</v>
      </c>
      <c r="K424" s="21" t="s">
        <v>621</v>
      </c>
    </row>
    <row r="425" spans="1:11" x14ac:dyDescent="0.25">
      <c r="A425" s="20" t="s">
        <v>3477</v>
      </c>
      <c r="B425" s="21" t="s">
        <v>3478</v>
      </c>
      <c r="C425" s="21" t="s">
        <v>621</v>
      </c>
      <c r="D425" s="21" t="s">
        <v>621</v>
      </c>
      <c r="E425" s="21" t="s">
        <v>621</v>
      </c>
      <c r="F425" s="21" t="s">
        <v>621</v>
      </c>
      <c r="G425" s="21" t="s">
        <v>621</v>
      </c>
      <c r="H425" s="21" t="s">
        <v>621</v>
      </c>
      <c r="I425" s="21" t="s">
        <v>621</v>
      </c>
      <c r="J425" s="21" t="s">
        <v>621</v>
      </c>
      <c r="K425" s="21" t="s">
        <v>621</v>
      </c>
    </row>
    <row r="426" spans="1:11" x14ac:dyDescent="0.25">
      <c r="A426" s="20" t="s">
        <v>3479</v>
      </c>
      <c r="B426" s="21" t="s">
        <v>3480</v>
      </c>
      <c r="C426" s="21" t="s">
        <v>621</v>
      </c>
      <c r="D426" s="21" t="s">
        <v>621</v>
      </c>
      <c r="E426" s="21" t="s">
        <v>621</v>
      </c>
      <c r="F426" s="21" t="s">
        <v>621</v>
      </c>
      <c r="G426" s="21" t="s">
        <v>621</v>
      </c>
      <c r="H426" s="21" t="s">
        <v>621</v>
      </c>
      <c r="I426" s="21" t="s">
        <v>621</v>
      </c>
      <c r="J426" s="21" t="s">
        <v>621</v>
      </c>
      <c r="K426" s="21" t="s">
        <v>621</v>
      </c>
    </row>
    <row r="427" spans="1:11" x14ac:dyDescent="0.25">
      <c r="A427" s="20" t="s">
        <v>3481</v>
      </c>
      <c r="B427" s="21" t="s">
        <v>3482</v>
      </c>
      <c r="C427" s="21" t="s">
        <v>621</v>
      </c>
      <c r="D427" s="21" t="s">
        <v>621</v>
      </c>
      <c r="E427" s="21" t="s">
        <v>621</v>
      </c>
      <c r="F427" s="21" t="s">
        <v>621</v>
      </c>
      <c r="G427" s="21" t="s">
        <v>621</v>
      </c>
      <c r="H427" s="21" t="s">
        <v>621</v>
      </c>
      <c r="I427" s="21" t="s">
        <v>621</v>
      </c>
      <c r="J427" s="21" t="s">
        <v>621</v>
      </c>
      <c r="K427" s="21" t="s">
        <v>621</v>
      </c>
    </row>
    <row r="428" spans="1:11" x14ac:dyDescent="0.25">
      <c r="A428" s="20" t="s">
        <v>3483</v>
      </c>
      <c r="B428" s="21" t="s">
        <v>2825</v>
      </c>
      <c r="C428" s="21" t="s">
        <v>2786</v>
      </c>
      <c r="D428" s="21" t="s">
        <v>621</v>
      </c>
      <c r="E428" s="21" t="s">
        <v>621</v>
      </c>
      <c r="F428" s="21" t="s">
        <v>621</v>
      </c>
      <c r="G428" s="21" t="s">
        <v>621</v>
      </c>
      <c r="H428" s="21" t="s">
        <v>621</v>
      </c>
      <c r="I428" s="21" t="s">
        <v>621</v>
      </c>
      <c r="J428" s="21" t="s">
        <v>621</v>
      </c>
      <c r="K428" s="21" t="s">
        <v>621</v>
      </c>
    </row>
    <row r="429" spans="1:11" x14ac:dyDescent="0.25">
      <c r="A429" s="20" t="s">
        <v>3484</v>
      </c>
      <c r="B429" s="21" t="s">
        <v>2827</v>
      </c>
      <c r="C429" s="21" t="s">
        <v>2786</v>
      </c>
      <c r="D429" s="21" t="s">
        <v>621</v>
      </c>
      <c r="E429" s="21" t="s">
        <v>621</v>
      </c>
      <c r="F429" s="21" t="s">
        <v>621</v>
      </c>
      <c r="G429" s="21" t="s">
        <v>621</v>
      </c>
      <c r="H429" s="21" t="s">
        <v>621</v>
      </c>
      <c r="I429" s="21" t="s">
        <v>621</v>
      </c>
      <c r="J429" s="21" t="s">
        <v>621</v>
      </c>
      <c r="K429" s="21" t="s">
        <v>621</v>
      </c>
    </row>
    <row r="430" spans="1:11" x14ac:dyDescent="0.25">
      <c r="A430" s="20" t="s">
        <v>3485</v>
      </c>
      <c r="B430" s="21" t="s">
        <v>3486</v>
      </c>
      <c r="C430" s="21" t="s">
        <v>621</v>
      </c>
      <c r="D430" s="21" t="s">
        <v>621</v>
      </c>
      <c r="E430" s="21" t="s">
        <v>621</v>
      </c>
      <c r="F430" s="21" t="s">
        <v>621</v>
      </c>
      <c r="G430" s="21" t="s">
        <v>621</v>
      </c>
      <c r="H430" s="21" t="s">
        <v>621</v>
      </c>
      <c r="I430" s="21" t="s">
        <v>621</v>
      </c>
      <c r="J430" s="21" t="s">
        <v>621</v>
      </c>
      <c r="K430" s="21" t="s">
        <v>621</v>
      </c>
    </row>
    <row r="431" spans="1:11" x14ac:dyDescent="0.25">
      <c r="A431" s="20" t="s">
        <v>3487</v>
      </c>
      <c r="B431" s="21" t="s">
        <v>3488</v>
      </c>
      <c r="C431" s="21" t="s">
        <v>621</v>
      </c>
      <c r="D431" s="21" t="s">
        <v>621</v>
      </c>
      <c r="E431" s="21" t="s">
        <v>621</v>
      </c>
      <c r="F431" s="21" t="s">
        <v>621</v>
      </c>
      <c r="G431" s="21" t="s">
        <v>621</v>
      </c>
      <c r="H431" s="21" t="s">
        <v>621</v>
      </c>
      <c r="I431" s="21" t="s">
        <v>621</v>
      </c>
      <c r="J431" s="21" t="s">
        <v>621</v>
      </c>
      <c r="K431" s="21" t="s">
        <v>621</v>
      </c>
    </row>
    <row r="432" spans="1:11" x14ac:dyDescent="0.25">
      <c r="A432" s="20" t="s">
        <v>3489</v>
      </c>
      <c r="B432" s="21" t="s">
        <v>2991</v>
      </c>
      <c r="C432" s="21" t="s">
        <v>2990</v>
      </c>
      <c r="D432" s="21" t="s">
        <v>2982</v>
      </c>
      <c r="E432" s="21" t="s">
        <v>621</v>
      </c>
      <c r="F432" s="21" t="s">
        <v>621</v>
      </c>
      <c r="G432" s="21" t="s">
        <v>621</v>
      </c>
      <c r="H432" s="21" t="s">
        <v>621</v>
      </c>
      <c r="I432" s="21" t="s">
        <v>621</v>
      </c>
      <c r="J432" s="21" t="s">
        <v>621</v>
      </c>
      <c r="K432" s="21" t="s">
        <v>621</v>
      </c>
    </row>
    <row r="433" spans="1:11" x14ac:dyDescent="0.25">
      <c r="A433" s="20" t="s">
        <v>2637</v>
      </c>
      <c r="B433" s="21" t="s">
        <v>2530</v>
      </c>
      <c r="C433" s="21" t="s">
        <v>2531</v>
      </c>
      <c r="D433" s="21" t="s">
        <v>2988</v>
      </c>
      <c r="E433" s="21" t="s">
        <v>2987</v>
      </c>
      <c r="F433" s="21" t="s">
        <v>2978</v>
      </c>
      <c r="G433" s="21" t="s">
        <v>621</v>
      </c>
      <c r="H433" s="21" t="s">
        <v>621</v>
      </c>
      <c r="I433" s="21" t="s">
        <v>621</v>
      </c>
      <c r="J433" s="21" t="s">
        <v>621</v>
      </c>
      <c r="K433" s="21" t="s">
        <v>621</v>
      </c>
    </row>
    <row r="434" spans="1:11" x14ac:dyDescent="0.25">
      <c r="A434" s="20" t="s">
        <v>3490</v>
      </c>
      <c r="B434" s="21" t="s">
        <v>3491</v>
      </c>
      <c r="C434" s="21" t="s">
        <v>621</v>
      </c>
      <c r="D434" s="21" t="s">
        <v>621</v>
      </c>
      <c r="E434" s="21" t="s">
        <v>621</v>
      </c>
      <c r="F434" s="21" t="s">
        <v>621</v>
      </c>
      <c r="G434" s="21" t="s">
        <v>621</v>
      </c>
      <c r="H434" s="21" t="s">
        <v>621</v>
      </c>
      <c r="I434" s="21" t="s">
        <v>621</v>
      </c>
      <c r="J434" s="21" t="s">
        <v>621</v>
      </c>
      <c r="K434" s="21" t="s">
        <v>621</v>
      </c>
    </row>
    <row r="435" spans="1:11" x14ac:dyDescent="0.25">
      <c r="A435" s="20" t="s">
        <v>2638</v>
      </c>
      <c r="B435" s="21" t="s">
        <v>2639</v>
      </c>
      <c r="C435" s="21" t="s">
        <v>3492</v>
      </c>
      <c r="D435" s="21" t="s">
        <v>621</v>
      </c>
      <c r="E435" s="21" t="s">
        <v>621</v>
      </c>
      <c r="F435" s="21" t="s">
        <v>621</v>
      </c>
      <c r="G435" s="21" t="s">
        <v>621</v>
      </c>
      <c r="H435" s="21" t="s">
        <v>621</v>
      </c>
      <c r="I435" s="21" t="s">
        <v>621</v>
      </c>
      <c r="J435" s="21" t="s">
        <v>621</v>
      </c>
      <c r="K435" s="21" t="s">
        <v>621</v>
      </c>
    </row>
    <row r="436" spans="1:11" x14ac:dyDescent="0.25">
      <c r="A436" s="20" t="s">
        <v>3493</v>
      </c>
      <c r="B436" s="21" t="s">
        <v>3494</v>
      </c>
      <c r="C436" s="21" t="s">
        <v>621</v>
      </c>
      <c r="D436" s="21" t="s">
        <v>621</v>
      </c>
      <c r="E436" s="21" t="s">
        <v>621</v>
      </c>
      <c r="F436" s="21" t="s">
        <v>621</v>
      </c>
      <c r="G436" s="21" t="s">
        <v>621</v>
      </c>
      <c r="H436" s="21" t="s">
        <v>621</v>
      </c>
      <c r="I436" s="21" t="s">
        <v>621</v>
      </c>
      <c r="J436" s="21" t="s">
        <v>621</v>
      </c>
      <c r="K436" s="21" t="s">
        <v>621</v>
      </c>
    </row>
    <row r="437" spans="1:11" x14ac:dyDescent="0.25">
      <c r="A437" s="20" t="s">
        <v>3495</v>
      </c>
      <c r="B437" s="21" t="s">
        <v>3496</v>
      </c>
      <c r="C437" s="21" t="s">
        <v>621</v>
      </c>
      <c r="D437" s="21" t="s">
        <v>621</v>
      </c>
      <c r="E437" s="21" t="s">
        <v>621</v>
      </c>
      <c r="F437" s="21" t="s">
        <v>621</v>
      </c>
      <c r="G437" s="21" t="s">
        <v>621</v>
      </c>
      <c r="H437" s="21" t="s">
        <v>621</v>
      </c>
      <c r="I437" s="21" t="s">
        <v>621</v>
      </c>
      <c r="J437" s="21" t="s">
        <v>621</v>
      </c>
      <c r="K437" s="21" t="s">
        <v>621</v>
      </c>
    </row>
    <row r="438" spans="1:11" x14ac:dyDescent="0.25">
      <c r="A438" s="20" t="s">
        <v>3497</v>
      </c>
      <c r="B438" s="21" t="s">
        <v>3492</v>
      </c>
      <c r="C438" s="21" t="s">
        <v>621</v>
      </c>
      <c r="D438" s="21" t="s">
        <v>621</v>
      </c>
      <c r="E438" s="21" t="s">
        <v>621</v>
      </c>
      <c r="F438" s="21" t="s">
        <v>621</v>
      </c>
      <c r="G438" s="21" t="s">
        <v>621</v>
      </c>
      <c r="H438" s="21" t="s">
        <v>621</v>
      </c>
      <c r="I438" s="21" t="s">
        <v>621</v>
      </c>
      <c r="J438" s="21" t="s">
        <v>621</v>
      </c>
      <c r="K438" s="21" t="s">
        <v>621</v>
      </c>
    </row>
    <row r="439" spans="1:11" x14ac:dyDescent="0.25">
      <c r="A439" s="20" t="s">
        <v>2640</v>
      </c>
      <c r="B439" s="21" t="s">
        <v>2612</v>
      </c>
      <c r="C439" s="21" t="s">
        <v>621</v>
      </c>
      <c r="D439" s="21" t="s">
        <v>621</v>
      </c>
      <c r="E439" s="21" t="s">
        <v>621</v>
      </c>
      <c r="F439" s="21" t="s">
        <v>621</v>
      </c>
      <c r="G439" s="21" t="s">
        <v>621</v>
      </c>
      <c r="H439" s="21" t="s">
        <v>621</v>
      </c>
      <c r="I439" s="21" t="s">
        <v>621</v>
      </c>
      <c r="J439" s="21" t="s">
        <v>621</v>
      </c>
      <c r="K439" s="21" t="s">
        <v>621</v>
      </c>
    </row>
    <row r="440" spans="1:11" x14ac:dyDescent="0.25">
      <c r="A440" s="20" t="s">
        <v>2641</v>
      </c>
      <c r="B440" s="21" t="s">
        <v>2614</v>
      </c>
      <c r="C440" s="21" t="s">
        <v>3498</v>
      </c>
      <c r="D440" s="21" t="s">
        <v>3409</v>
      </c>
      <c r="E440" s="21" t="s">
        <v>3411</v>
      </c>
      <c r="F440" s="21" t="s">
        <v>3412</v>
      </c>
      <c r="G440" s="21" t="s">
        <v>621</v>
      </c>
      <c r="H440" s="21" t="s">
        <v>621</v>
      </c>
      <c r="I440" s="21" t="s">
        <v>621</v>
      </c>
      <c r="J440" s="21" t="s">
        <v>621</v>
      </c>
      <c r="K440" s="21" t="s">
        <v>621</v>
      </c>
    </row>
    <row r="441" spans="1:11" x14ac:dyDescent="0.25">
      <c r="A441" s="20" t="s">
        <v>3499</v>
      </c>
      <c r="B441" s="21" t="s">
        <v>3417</v>
      </c>
      <c r="C441" s="21" t="s">
        <v>3416</v>
      </c>
      <c r="D441" s="21" t="s">
        <v>3418</v>
      </c>
      <c r="E441" s="21" t="s">
        <v>3419</v>
      </c>
      <c r="F441" s="21" t="s">
        <v>621</v>
      </c>
      <c r="G441" s="21" t="s">
        <v>621</v>
      </c>
      <c r="H441" s="21" t="s">
        <v>621</v>
      </c>
      <c r="I441" s="21" t="s">
        <v>621</v>
      </c>
      <c r="J441" s="21" t="s">
        <v>621</v>
      </c>
      <c r="K441" s="21" t="s">
        <v>621</v>
      </c>
    </row>
    <row r="442" spans="1:11" x14ac:dyDescent="0.25">
      <c r="A442" s="20" t="s">
        <v>3500</v>
      </c>
      <c r="B442" s="21" t="s">
        <v>3260</v>
      </c>
      <c r="C442" s="21" t="s">
        <v>3259</v>
      </c>
      <c r="D442" s="21" t="s">
        <v>621</v>
      </c>
      <c r="E442" s="21" t="s">
        <v>621</v>
      </c>
      <c r="F442" s="21" t="s">
        <v>621</v>
      </c>
      <c r="G442" s="21" t="s">
        <v>621</v>
      </c>
      <c r="H442" s="21" t="s">
        <v>621</v>
      </c>
      <c r="I442" s="21" t="s">
        <v>621</v>
      </c>
      <c r="J442" s="21" t="s">
        <v>621</v>
      </c>
      <c r="K442" s="21" t="s">
        <v>621</v>
      </c>
    </row>
    <row r="443" spans="1:11" x14ac:dyDescent="0.25">
      <c r="A443" s="20" t="s">
        <v>3501</v>
      </c>
      <c r="B443" s="21" t="s">
        <v>3502</v>
      </c>
      <c r="C443" s="21" t="s">
        <v>621</v>
      </c>
      <c r="D443" s="21" t="s">
        <v>621</v>
      </c>
      <c r="E443" s="21" t="s">
        <v>621</v>
      </c>
      <c r="F443" s="21" t="s">
        <v>621</v>
      </c>
      <c r="G443" s="21" t="s">
        <v>621</v>
      </c>
      <c r="H443" s="21" t="s">
        <v>621</v>
      </c>
      <c r="I443" s="21" t="s">
        <v>621</v>
      </c>
      <c r="J443" s="21" t="s">
        <v>621</v>
      </c>
      <c r="K443" s="21" t="s">
        <v>621</v>
      </c>
    </row>
    <row r="444" spans="1:11" x14ac:dyDescent="0.25">
      <c r="A444" s="20" t="s">
        <v>3503</v>
      </c>
      <c r="B444" s="21" t="s">
        <v>3498</v>
      </c>
      <c r="C444" s="21" t="s">
        <v>621</v>
      </c>
      <c r="D444" s="21" t="s">
        <v>621</v>
      </c>
      <c r="E444" s="21" t="s">
        <v>621</v>
      </c>
      <c r="F444" s="21" t="s">
        <v>621</v>
      </c>
      <c r="G444" s="21" t="s">
        <v>621</v>
      </c>
      <c r="H444" s="21" t="s">
        <v>621</v>
      </c>
      <c r="I444" s="21" t="s">
        <v>621</v>
      </c>
      <c r="J444" s="21" t="s">
        <v>621</v>
      </c>
      <c r="K444" s="21" t="s">
        <v>621</v>
      </c>
    </row>
    <row r="445" spans="1:11" x14ac:dyDescent="0.25">
      <c r="A445" s="20" t="s">
        <v>3504</v>
      </c>
      <c r="B445" s="21" t="s">
        <v>3505</v>
      </c>
      <c r="C445" s="21" t="s">
        <v>621</v>
      </c>
      <c r="D445" s="21" t="s">
        <v>621</v>
      </c>
      <c r="E445" s="21" t="s">
        <v>621</v>
      </c>
      <c r="F445" s="21" t="s">
        <v>621</v>
      </c>
      <c r="G445" s="21" t="s">
        <v>621</v>
      </c>
      <c r="H445" s="21" t="s">
        <v>621</v>
      </c>
      <c r="I445" s="21" t="s">
        <v>621</v>
      </c>
      <c r="J445" s="21" t="s">
        <v>621</v>
      </c>
      <c r="K445" s="21" t="s">
        <v>621</v>
      </c>
    </row>
    <row r="446" spans="1:11" x14ac:dyDescent="0.25">
      <c r="A446" s="20" t="s">
        <v>3506</v>
      </c>
      <c r="B446" s="21" t="s">
        <v>3505</v>
      </c>
      <c r="C446" s="21" t="s">
        <v>621</v>
      </c>
      <c r="D446" s="21" t="s">
        <v>621</v>
      </c>
      <c r="E446" s="21" t="s">
        <v>621</v>
      </c>
      <c r="F446" s="21" t="s">
        <v>621</v>
      </c>
      <c r="G446" s="21" t="s">
        <v>621</v>
      </c>
      <c r="H446" s="21" t="s">
        <v>621</v>
      </c>
      <c r="I446" s="21" t="s">
        <v>621</v>
      </c>
      <c r="J446" s="21" t="s">
        <v>621</v>
      </c>
      <c r="K446" s="21" t="s">
        <v>621</v>
      </c>
    </row>
    <row r="447" spans="1:11" x14ac:dyDescent="0.25">
      <c r="A447" s="20" t="s">
        <v>3507</v>
      </c>
      <c r="B447" s="21" t="s">
        <v>3508</v>
      </c>
      <c r="C447" s="21" t="s">
        <v>3509</v>
      </c>
      <c r="D447" s="21" t="s">
        <v>621</v>
      </c>
      <c r="E447" s="21" t="s">
        <v>621</v>
      </c>
      <c r="F447" s="21" t="s">
        <v>621</v>
      </c>
      <c r="G447" s="21" t="s">
        <v>621</v>
      </c>
      <c r="H447" s="21" t="s">
        <v>621</v>
      </c>
      <c r="I447" s="21" t="s">
        <v>621</v>
      </c>
      <c r="J447" s="21" t="s">
        <v>621</v>
      </c>
      <c r="K447" s="21" t="s">
        <v>621</v>
      </c>
    </row>
    <row r="448" spans="1:11" x14ac:dyDescent="0.25">
      <c r="A448" s="20" t="s">
        <v>3510</v>
      </c>
      <c r="B448" s="21" t="s">
        <v>3511</v>
      </c>
      <c r="C448" s="21" t="s">
        <v>621</v>
      </c>
      <c r="D448" s="21" t="s">
        <v>621</v>
      </c>
      <c r="E448" s="21" t="s">
        <v>621</v>
      </c>
      <c r="F448" s="21" t="s">
        <v>621</v>
      </c>
      <c r="G448" s="21" t="s">
        <v>621</v>
      </c>
      <c r="H448" s="21" t="s">
        <v>621</v>
      </c>
      <c r="I448" s="21" t="s">
        <v>621</v>
      </c>
      <c r="J448" s="21" t="s">
        <v>621</v>
      </c>
      <c r="K448" s="21" t="s">
        <v>621</v>
      </c>
    </row>
    <row r="449" spans="1:11" x14ac:dyDescent="0.25">
      <c r="A449" s="20" t="s">
        <v>3512</v>
      </c>
      <c r="B449" s="21" t="s">
        <v>3513</v>
      </c>
      <c r="C449" s="21" t="s">
        <v>621</v>
      </c>
      <c r="D449" s="21" t="s">
        <v>621</v>
      </c>
      <c r="E449" s="21" t="s">
        <v>621</v>
      </c>
      <c r="F449" s="21" t="s">
        <v>621</v>
      </c>
      <c r="G449" s="21" t="s">
        <v>621</v>
      </c>
      <c r="H449" s="21" t="s">
        <v>621</v>
      </c>
      <c r="I449" s="21" t="s">
        <v>621</v>
      </c>
      <c r="J449" s="21" t="s">
        <v>621</v>
      </c>
      <c r="K449" s="21" t="s">
        <v>621</v>
      </c>
    </row>
    <row r="450" spans="1:11" x14ac:dyDescent="0.25">
      <c r="A450" s="20" t="s">
        <v>2642</v>
      </c>
      <c r="B450" s="21" t="s">
        <v>2574</v>
      </c>
      <c r="C450" s="21" t="s">
        <v>621</v>
      </c>
      <c r="D450" s="21" t="s">
        <v>621</v>
      </c>
      <c r="E450" s="21" t="s">
        <v>621</v>
      </c>
      <c r="F450" s="21" t="s">
        <v>621</v>
      </c>
      <c r="G450" s="21" t="s">
        <v>621</v>
      </c>
      <c r="H450" s="21" t="s">
        <v>621</v>
      </c>
      <c r="I450" s="21" t="s">
        <v>621</v>
      </c>
      <c r="J450" s="21" t="s">
        <v>621</v>
      </c>
      <c r="K450" s="21" t="s">
        <v>621</v>
      </c>
    </row>
    <row r="451" spans="1:11" x14ac:dyDescent="0.25">
      <c r="A451" s="20" t="s">
        <v>3514</v>
      </c>
      <c r="B451" s="21" t="s">
        <v>3515</v>
      </c>
      <c r="C451" s="21" t="s">
        <v>3516</v>
      </c>
      <c r="D451" s="21" t="s">
        <v>621</v>
      </c>
      <c r="E451" s="21" t="s">
        <v>621</v>
      </c>
      <c r="F451" s="21" t="s">
        <v>621</v>
      </c>
      <c r="G451" s="21" t="s">
        <v>621</v>
      </c>
      <c r="H451" s="21" t="s">
        <v>621</v>
      </c>
      <c r="I451" s="21" t="s">
        <v>621</v>
      </c>
      <c r="J451" s="21" t="s">
        <v>621</v>
      </c>
      <c r="K451" s="21" t="s">
        <v>621</v>
      </c>
    </row>
    <row r="452" spans="1:11" x14ac:dyDescent="0.25">
      <c r="A452" s="20" t="s">
        <v>3517</v>
      </c>
      <c r="B452" s="21" t="s">
        <v>3518</v>
      </c>
      <c r="C452" s="21" t="s">
        <v>621</v>
      </c>
      <c r="D452" s="21" t="s">
        <v>621</v>
      </c>
      <c r="E452" s="21" t="s">
        <v>621</v>
      </c>
      <c r="F452" s="21" t="s">
        <v>621</v>
      </c>
      <c r="G452" s="21" t="s">
        <v>621</v>
      </c>
      <c r="H452" s="21" t="s">
        <v>621</v>
      </c>
      <c r="I452" s="21" t="s">
        <v>621</v>
      </c>
      <c r="J452" s="21" t="s">
        <v>621</v>
      </c>
      <c r="K452" s="21" t="s">
        <v>621</v>
      </c>
    </row>
    <row r="453" spans="1:11" x14ac:dyDescent="0.25">
      <c r="A453" s="20" t="s">
        <v>2643</v>
      </c>
      <c r="B453" s="21" t="s">
        <v>2644</v>
      </c>
      <c r="C453" s="21" t="s">
        <v>621</v>
      </c>
      <c r="D453" s="21" t="s">
        <v>621</v>
      </c>
      <c r="E453" s="21" t="s">
        <v>621</v>
      </c>
      <c r="F453" s="21" t="s">
        <v>621</v>
      </c>
      <c r="G453" s="21" t="s">
        <v>621</v>
      </c>
      <c r="H453" s="21" t="s">
        <v>621</v>
      </c>
      <c r="I453" s="21" t="s">
        <v>621</v>
      </c>
      <c r="J453" s="21" t="s">
        <v>621</v>
      </c>
      <c r="K453" s="21" t="s">
        <v>621</v>
      </c>
    </row>
    <row r="454" spans="1:11" x14ac:dyDescent="0.25">
      <c r="A454" s="20" t="s">
        <v>3519</v>
      </c>
      <c r="B454" s="21" t="s">
        <v>3520</v>
      </c>
      <c r="C454" s="21" t="s">
        <v>3521</v>
      </c>
      <c r="D454" s="21" t="s">
        <v>3522</v>
      </c>
      <c r="E454" s="21" t="s">
        <v>621</v>
      </c>
      <c r="F454" s="21" t="s">
        <v>621</v>
      </c>
      <c r="G454" s="21" t="s">
        <v>621</v>
      </c>
      <c r="H454" s="21" t="s">
        <v>621</v>
      </c>
      <c r="I454" s="21" t="s">
        <v>621</v>
      </c>
      <c r="J454" s="21" t="s">
        <v>621</v>
      </c>
      <c r="K454" s="21" t="s">
        <v>621</v>
      </c>
    </row>
    <row r="455" spans="1:11" x14ac:dyDescent="0.25">
      <c r="A455" s="20" t="s">
        <v>3523</v>
      </c>
      <c r="B455" s="21" t="s">
        <v>3524</v>
      </c>
      <c r="C455" s="21" t="s">
        <v>3525</v>
      </c>
      <c r="D455" s="21" t="s">
        <v>621</v>
      </c>
      <c r="E455" s="21" t="s">
        <v>621</v>
      </c>
      <c r="F455" s="21" t="s">
        <v>621</v>
      </c>
      <c r="G455" s="21" t="s">
        <v>621</v>
      </c>
      <c r="H455" s="21" t="s">
        <v>621</v>
      </c>
      <c r="I455" s="21" t="s">
        <v>621</v>
      </c>
      <c r="J455" s="21" t="s">
        <v>621</v>
      </c>
      <c r="K455" s="21" t="s">
        <v>621</v>
      </c>
    </row>
    <row r="456" spans="1:11" x14ac:dyDescent="0.25">
      <c r="A456" s="20" t="s">
        <v>3526</v>
      </c>
      <c r="B456" s="21" t="s">
        <v>3527</v>
      </c>
      <c r="C456" s="21" t="s">
        <v>3528</v>
      </c>
      <c r="D456" s="21" t="s">
        <v>621</v>
      </c>
      <c r="E456" s="21" t="s">
        <v>621</v>
      </c>
      <c r="F456" s="21" t="s">
        <v>621</v>
      </c>
      <c r="G456" s="21" t="s">
        <v>621</v>
      </c>
      <c r="H456" s="21" t="s">
        <v>621</v>
      </c>
      <c r="I456" s="21" t="s">
        <v>621</v>
      </c>
      <c r="J456" s="21" t="s">
        <v>621</v>
      </c>
      <c r="K456" s="21" t="s">
        <v>621</v>
      </c>
    </row>
    <row r="457" spans="1:11" x14ac:dyDescent="0.25">
      <c r="A457" s="20" t="s">
        <v>3529</v>
      </c>
      <c r="B457" s="21" t="s">
        <v>3530</v>
      </c>
      <c r="C457" s="21" t="s">
        <v>621</v>
      </c>
      <c r="D457" s="21" t="s">
        <v>621</v>
      </c>
      <c r="E457" s="21" t="s">
        <v>621</v>
      </c>
      <c r="F457" s="21" t="s">
        <v>621</v>
      </c>
      <c r="G457" s="21" t="s">
        <v>621</v>
      </c>
      <c r="H457" s="21" t="s">
        <v>621</v>
      </c>
      <c r="I457" s="21" t="s">
        <v>621</v>
      </c>
      <c r="J457" s="21" t="s">
        <v>621</v>
      </c>
      <c r="K457" s="21" t="s">
        <v>621</v>
      </c>
    </row>
    <row r="458" spans="1:11" x14ac:dyDescent="0.25">
      <c r="A458" s="20" t="s">
        <v>3531</v>
      </c>
      <c r="B458" s="21" t="s">
        <v>3530</v>
      </c>
      <c r="C458" s="21" t="s">
        <v>621</v>
      </c>
      <c r="D458" s="21" t="s">
        <v>621</v>
      </c>
      <c r="E458" s="21" t="s">
        <v>621</v>
      </c>
      <c r="F458" s="21" t="s">
        <v>621</v>
      </c>
      <c r="G458" s="21" t="s">
        <v>621</v>
      </c>
      <c r="H458" s="21" t="s">
        <v>621</v>
      </c>
      <c r="I458" s="21" t="s">
        <v>621</v>
      </c>
      <c r="J458" s="21" t="s">
        <v>621</v>
      </c>
      <c r="K458" s="21" t="s">
        <v>621</v>
      </c>
    </row>
    <row r="459" spans="1:11" x14ac:dyDescent="0.25">
      <c r="A459" s="20" t="s">
        <v>3532</v>
      </c>
      <c r="B459" s="21" t="s">
        <v>3530</v>
      </c>
      <c r="C459" s="21" t="s">
        <v>621</v>
      </c>
      <c r="D459" s="21" t="s">
        <v>621</v>
      </c>
      <c r="E459" s="21" t="s">
        <v>621</v>
      </c>
      <c r="F459" s="21" t="s">
        <v>621</v>
      </c>
      <c r="G459" s="21" t="s">
        <v>621</v>
      </c>
      <c r="H459" s="21" t="s">
        <v>621</v>
      </c>
      <c r="I459" s="21" t="s">
        <v>621</v>
      </c>
      <c r="J459" s="21" t="s">
        <v>621</v>
      </c>
      <c r="K459" s="21" t="s">
        <v>621</v>
      </c>
    </row>
    <row r="460" spans="1:11" x14ac:dyDescent="0.25">
      <c r="A460" s="20" t="s">
        <v>2645</v>
      </c>
      <c r="B460" s="21" t="s">
        <v>2497</v>
      </c>
      <c r="C460" s="21" t="s">
        <v>621</v>
      </c>
      <c r="D460" s="21" t="s">
        <v>621</v>
      </c>
      <c r="E460" s="21" t="s">
        <v>621</v>
      </c>
      <c r="F460" s="21" t="s">
        <v>621</v>
      </c>
      <c r="G460" s="21" t="s">
        <v>621</v>
      </c>
      <c r="H460" s="21" t="s">
        <v>621</v>
      </c>
      <c r="I460" s="21" t="s">
        <v>621</v>
      </c>
      <c r="J460" s="21" t="s">
        <v>621</v>
      </c>
      <c r="K460" s="21" t="s">
        <v>621</v>
      </c>
    </row>
    <row r="461" spans="1:11" x14ac:dyDescent="0.25">
      <c r="A461" s="20" t="s">
        <v>3533</v>
      </c>
      <c r="B461" s="21" t="s">
        <v>3534</v>
      </c>
      <c r="C461" s="21" t="s">
        <v>3535</v>
      </c>
      <c r="D461" s="21" t="s">
        <v>3536</v>
      </c>
      <c r="E461" s="21" t="s">
        <v>621</v>
      </c>
      <c r="F461" s="21" t="s">
        <v>621</v>
      </c>
      <c r="G461" s="21" t="s">
        <v>621</v>
      </c>
      <c r="H461" s="21" t="s">
        <v>621</v>
      </c>
      <c r="I461" s="21" t="s">
        <v>621</v>
      </c>
      <c r="J461" s="21" t="s">
        <v>621</v>
      </c>
      <c r="K461" s="21" t="s">
        <v>621</v>
      </c>
    </row>
    <row r="462" spans="1:11" x14ac:dyDescent="0.25">
      <c r="A462" s="20" t="s">
        <v>3537</v>
      </c>
      <c r="B462" s="21" t="s">
        <v>3509</v>
      </c>
      <c r="C462" s="21" t="s">
        <v>3508</v>
      </c>
      <c r="D462" s="21" t="s">
        <v>621</v>
      </c>
      <c r="E462" s="21" t="s">
        <v>621</v>
      </c>
      <c r="F462" s="21" t="s">
        <v>621</v>
      </c>
      <c r="G462" s="21" t="s">
        <v>621</v>
      </c>
      <c r="H462" s="21" t="s">
        <v>621</v>
      </c>
      <c r="I462" s="21" t="s">
        <v>621</v>
      </c>
      <c r="J462" s="21" t="s">
        <v>621</v>
      </c>
      <c r="K462" s="21" t="s">
        <v>621</v>
      </c>
    </row>
    <row r="463" spans="1:11" x14ac:dyDescent="0.25">
      <c r="A463" s="20" t="s">
        <v>3538</v>
      </c>
      <c r="B463" s="21" t="s">
        <v>3511</v>
      </c>
      <c r="C463" s="21" t="s">
        <v>621</v>
      </c>
      <c r="D463" s="21" t="s">
        <v>621</v>
      </c>
      <c r="E463" s="21" t="s">
        <v>621</v>
      </c>
      <c r="F463" s="21" t="s">
        <v>621</v>
      </c>
      <c r="G463" s="21" t="s">
        <v>621</v>
      </c>
      <c r="H463" s="21" t="s">
        <v>621</v>
      </c>
      <c r="I463" s="21" t="s">
        <v>621</v>
      </c>
      <c r="J463" s="21" t="s">
        <v>621</v>
      </c>
      <c r="K463" s="21" t="s">
        <v>621</v>
      </c>
    </row>
    <row r="464" spans="1:11" x14ac:dyDescent="0.25">
      <c r="A464" s="20" t="s">
        <v>3539</v>
      </c>
      <c r="B464" s="21" t="s">
        <v>3513</v>
      </c>
      <c r="C464" s="21" t="s">
        <v>621</v>
      </c>
      <c r="D464" s="21" t="s">
        <v>621</v>
      </c>
      <c r="E464" s="21" t="s">
        <v>621</v>
      </c>
      <c r="F464" s="21" t="s">
        <v>621</v>
      </c>
      <c r="G464" s="21" t="s">
        <v>621</v>
      </c>
      <c r="H464" s="21" t="s">
        <v>621</v>
      </c>
      <c r="I464" s="21" t="s">
        <v>621</v>
      </c>
      <c r="J464" s="21" t="s">
        <v>621</v>
      </c>
      <c r="K464" s="21" t="s">
        <v>621</v>
      </c>
    </row>
    <row r="465" spans="1:11" x14ac:dyDescent="0.25">
      <c r="A465" s="20" t="s">
        <v>2646</v>
      </c>
      <c r="B465" s="21" t="s">
        <v>2574</v>
      </c>
      <c r="C465" s="21" t="s">
        <v>621</v>
      </c>
      <c r="D465" s="21" t="s">
        <v>621</v>
      </c>
      <c r="E465" s="21" t="s">
        <v>621</v>
      </c>
      <c r="F465" s="21" t="s">
        <v>621</v>
      </c>
      <c r="G465" s="21" t="s">
        <v>621</v>
      </c>
      <c r="H465" s="21" t="s">
        <v>621</v>
      </c>
      <c r="I465" s="21" t="s">
        <v>621</v>
      </c>
      <c r="J465" s="21" t="s">
        <v>621</v>
      </c>
      <c r="K465" s="21" t="s">
        <v>621</v>
      </c>
    </row>
    <row r="466" spans="1:11" x14ac:dyDescent="0.25">
      <c r="A466" s="20" t="s">
        <v>3540</v>
      </c>
      <c r="B466" s="21" t="s">
        <v>3516</v>
      </c>
      <c r="C466" s="21" t="s">
        <v>621</v>
      </c>
      <c r="D466" s="21" t="s">
        <v>621</v>
      </c>
      <c r="E466" s="21" t="s">
        <v>621</v>
      </c>
      <c r="F466" s="21" t="s">
        <v>621</v>
      </c>
      <c r="G466" s="21" t="s">
        <v>621</v>
      </c>
      <c r="H466" s="21" t="s">
        <v>621</v>
      </c>
      <c r="I466" s="21" t="s">
        <v>621</v>
      </c>
      <c r="J466" s="21" t="s">
        <v>621</v>
      </c>
      <c r="K466" s="21" t="s">
        <v>621</v>
      </c>
    </row>
    <row r="467" spans="1:11" x14ac:dyDescent="0.25">
      <c r="A467" s="20" t="s">
        <v>2647</v>
      </c>
      <c r="B467" s="21" t="s">
        <v>2571</v>
      </c>
      <c r="C467" s="21" t="s">
        <v>621</v>
      </c>
      <c r="D467" s="21" t="s">
        <v>621</v>
      </c>
      <c r="E467" s="21" t="s">
        <v>621</v>
      </c>
      <c r="F467" s="21" t="s">
        <v>621</v>
      </c>
      <c r="G467" s="21" t="s">
        <v>621</v>
      </c>
      <c r="H467" s="21" t="s">
        <v>621</v>
      </c>
      <c r="I467" s="21" t="s">
        <v>621</v>
      </c>
      <c r="J467" s="21" t="s">
        <v>621</v>
      </c>
      <c r="K467" s="21" t="s">
        <v>621</v>
      </c>
    </row>
    <row r="468" spans="1:11" x14ac:dyDescent="0.25">
      <c r="A468" s="20" t="s">
        <v>3541</v>
      </c>
      <c r="B468" s="21" t="s">
        <v>3542</v>
      </c>
      <c r="C468" s="21" t="s">
        <v>621</v>
      </c>
      <c r="D468" s="21" t="s">
        <v>621</v>
      </c>
      <c r="E468" s="21" t="s">
        <v>621</v>
      </c>
      <c r="F468" s="21" t="s">
        <v>621</v>
      </c>
      <c r="G468" s="21" t="s">
        <v>621</v>
      </c>
      <c r="H468" s="21" t="s">
        <v>621</v>
      </c>
      <c r="I468" s="21" t="s">
        <v>621</v>
      </c>
      <c r="J468" s="21" t="s">
        <v>621</v>
      </c>
      <c r="K468" s="21" t="s">
        <v>621</v>
      </c>
    </row>
    <row r="469" spans="1:11" x14ac:dyDescent="0.25">
      <c r="A469" s="20" t="s">
        <v>3543</v>
      </c>
      <c r="B469" s="21" t="s">
        <v>3544</v>
      </c>
      <c r="C469" s="21" t="s">
        <v>621</v>
      </c>
      <c r="D469" s="21" t="s">
        <v>621</v>
      </c>
      <c r="E469" s="21" t="s">
        <v>621</v>
      </c>
      <c r="F469" s="21" t="s">
        <v>621</v>
      </c>
      <c r="G469" s="21" t="s">
        <v>621</v>
      </c>
      <c r="H469" s="21" t="s">
        <v>621</v>
      </c>
      <c r="I469" s="21" t="s">
        <v>621</v>
      </c>
      <c r="J469" s="21" t="s">
        <v>621</v>
      </c>
      <c r="K469" s="21" t="s">
        <v>621</v>
      </c>
    </row>
    <row r="470" spans="1:11" x14ac:dyDescent="0.25">
      <c r="A470" s="20" t="s">
        <v>3545</v>
      </c>
      <c r="B470" s="21" t="s">
        <v>3546</v>
      </c>
      <c r="C470" s="21" t="s">
        <v>621</v>
      </c>
      <c r="D470" s="21" t="s">
        <v>621</v>
      </c>
      <c r="E470" s="21" t="s">
        <v>621</v>
      </c>
      <c r="F470" s="21" t="s">
        <v>621</v>
      </c>
      <c r="G470" s="21" t="s">
        <v>621</v>
      </c>
      <c r="H470" s="21" t="s">
        <v>621</v>
      </c>
      <c r="I470" s="21" t="s">
        <v>621</v>
      </c>
      <c r="J470" s="21" t="s">
        <v>621</v>
      </c>
      <c r="K470" s="21" t="s">
        <v>621</v>
      </c>
    </row>
    <row r="471" spans="1:11" x14ac:dyDescent="0.25">
      <c r="A471" s="20" t="s">
        <v>3547</v>
      </c>
      <c r="B471" s="21" t="s">
        <v>3548</v>
      </c>
      <c r="C471" s="21" t="s">
        <v>621</v>
      </c>
      <c r="D471" s="21" t="s">
        <v>621</v>
      </c>
      <c r="E471" s="21" t="s">
        <v>621</v>
      </c>
      <c r="F471" s="21" t="s">
        <v>621</v>
      </c>
      <c r="G471" s="21" t="s">
        <v>621</v>
      </c>
      <c r="H471" s="21" t="s">
        <v>621</v>
      </c>
      <c r="I471" s="21" t="s">
        <v>621</v>
      </c>
      <c r="J471" s="21" t="s">
        <v>621</v>
      </c>
      <c r="K471" s="21" t="s">
        <v>621</v>
      </c>
    </row>
    <row r="472" spans="1:11" x14ac:dyDescent="0.25">
      <c r="A472" s="20" t="s">
        <v>3549</v>
      </c>
      <c r="B472" s="21" t="s">
        <v>3550</v>
      </c>
      <c r="C472" s="21" t="s">
        <v>621</v>
      </c>
      <c r="D472" s="21" t="s">
        <v>621</v>
      </c>
      <c r="E472" s="21" t="s">
        <v>621</v>
      </c>
      <c r="F472" s="21" t="s">
        <v>621</v>
      </c>
      <c r="G472" s="21" t="s">
        <v>621</v>
      </c>
      <c r="H472" s="21" t="s">
        <v>621</v>
      </c>
      <c r="I472" s="21" t="s">
        <v>621</v>
      </c>
      <c r="J472" s="21" t="s">
        <v>621</v>
      </c>
      <c r="K472" s="21" t="s">
        <v>621</v>
      </c>
    </row>
    <row r="473" spans="1:11" x14ac:dyDescent="0.25">
      <c r="A473" s="20" t="s">
        <v>3551</v>
      </c>
      <c r="B473" s="21" t="s">
        <v>3552</v>
      </c>
      <c r="C473" s="21" t="s">
        <v>621</v>
      </c>
      <c r="D473" s="21" t="s">
        <v>621</v>
      </c>
      <c r="E473" s="21" t="s">
        <v>621</v>
      </c>
      <c r="F473" s="21" t="s">
        <v>621</v>
      </c>
      <c r="G473" s="21" t="s">
        <v>621</v>
      </c>
      <c r="H473" s="21" t="s">
        <v>621</v>
      </c>
      <c r="I473" s="21" t="s">
        <v>621</v>
      </c>
      <c r="J473" s="21" t="s">
        <v>621</v>
      </c>
      <c r="K473" s="21" t="s">
        <v>621</v>
      </c>
    </row>
    <row r="474" spans="1:11" x14ac:dyDescent="0.25">
      <c r="A474" s="20" t="s">
        <v>3553</v>
      </c>
      <c r="B474" s="21" t="s">
        <v>3554</v>
      </c>
      <c r="C474" s="21" t="s">
        <v>621</v>
      </c>
      <c r="D474" s="21" t="s">
        <v>621</v>
      </c>
      <c r="E474" s="21" t="s">
        <v>621</v>
      </c>
      <c r="F474" s="21" t="s">
        <v>621</v>
      </c>
      <c r="G474" s="21" t="s">
        <v>621</v>
      </c>
      <c r="H474" s="21" t="s">
        <v>621</v>
      </c>
      <c r="I474" s="21" t="s">
        <v>621</v>
      </c>
      <c r="J474" s="21" t="s">
        <v>621</v>
      </c>
      <c r="K474" s="21" t="s">
        <v>621</v>
      </c>
    </row>
    <row r="475" spans="1:11" x14ac:dyDescent="0.25">
      <c r="A475" s="20" t="s">
        <v>3555</v>
      </c>
      <c r="B475" s="21" t="s">
        <v>3556</v>
      </c>
      <c r="C475" s="21" t="s">
        <v>621</v>
      </c>
      <c r="D475" s="21" t="s">
        <v>621</v>
      </c>
      <c r="E475" s="21" t="s">
        <v>621</v>
      </c>
      <c r="F475" s="21" t="s">
        <v>621</v>
      </c>
      <c r="G475" s="21" t="s">
        <v>621</v>
      </c>
      <c r="H475" s="21" t="s">
        <v>621</v>
      </c>
      <c r="I475" s="21" t="s">
        <v>621</v>
      </c>
      <c r="J475" s="21" t="s">
        <v>621</v>
      </c>
      <c r="K475" s="21" t="s">
        <v>621</v>
      </c>
    </row>
    <row r="476" spans="1:11" x14ac:dyDescent="0.25">
      <c r="A476" s="20" t="s">
        <v>2648</v>
      </c>
      <c r="B476" s="21" t="s">
        <v>2499</v>
      </c>
      <c r="C476" s="21" t="s">
        <v>2488</v>
      </c>
      <c r="D476" s="21" t="s">
        <v>2501</v>
      </c>
      <c r="E476" s="21" t="s">
        <v>2905</v>
      </c>
      <c r="F476" s="21" t="s">
        <v>2907</v>
      </c>
      <c r="G476" s="21" t="s">
        <v>2893</v>
      </c>
      <c r="H476" s="21" t="s">
        <v>621</v>
      </c>
      <c r="I476" s="21" t="s">
        <v>621</v>
      </c>
      <c r="J476" s="21" t="s">
        <v>621</v>
      </c>
      <c r="K476" s="21" t="s">
        <v>621</v>
      </c>
    </row>
    <row r="477" spans="1:11" x14ac:dyDescent="0.25">
      <c r="A477" s="20" t="s">
        <v>2649</v>
      </c>
      <c r="B477" s="21" t="s">
        <v>2650</v>
      </c>
      <c r="C477" s="21" t="s">
        <v>2651</v>
      </c>
      <c r="D477" s="21" t="s">
        <v>3557</v>
      </c>
      <c r="E477" s="21" t="s">
        <v>621</v>
      </c>
      <c r="F477" s="21" t="s">
        <v>621</v>
      </c>
      <c r="G477" s="21" t="s">
        <v>621</v>
      </c>
      <c r="H477" s="21" t="s">
        <v>621</v>
      </c>
      <c r="I477" s="21" t="s">
        <v>621</v>
      </c>
      <c r="J477" s="21" t="s">
        <v>621</v>
      </c>
      <c r="K477" s="21" t="s">
        <v>621</v>
      </c>
    </row>
    <row r="478" spans="1:11" x14ac:dyDescent="0.25">
      <c r="A478" s="20" t="s">
        <v>2652</v>
      </c>
      <c r="B478" s="21" t="s">
        <v>2444</v>
      </c>
      <c r="C478" s="21" t="s">
        <v>3289</v>
      </c>
      <c r="D478" s="21" t="s">
        <v>621</v>
      </c>
      <c r="E478" s="21" t="s">
        <v>621</v>
      </c>
      <c r="F478" s="21" t="s">
        <v>621</v>
      </c>
      <c r="G478" s="21" t="s">
        <v>621</v>
      </c>
      <c r="H478" s="21" t="s">
        <v>621</v>
      </c>
      <c r="I478" s="21" t="s">
        <v>621</v>
      </c>
      <c r="J478" s="21" t="s">
        <v>621</v>
      </c>
      <c r="K478" s="21" t="s">
        <v>621</v>
      </c>
    </row>
    <row r="479" spans="1:11" x14ac:dyDescent="0.25">
      <c r="A479" s="20" t="s">
        <v>2653</v>
      </c>
      <c r="B479" s="21" t="s">
        <v>2444</v>
      </c>
      <c r="C479" s="21" t="s">
        <v>3198</v>
      </c>
      <c r="D479" s="21" t="s">
        <v>3196</v>
      </c>
      <c r="E479" s="21" t="s">
        <v>3197</v>
      </c>
      <c r="F479" s="21" t="s">
        <v>3195</v>
      </c>
      <c r="G479" s="21" t="s">
        <v>621</v>
      </c>
      <c r="H479" s="21" t="s">
        <v>621</v>
      </c>
      <c r="I479" s="21" t="s">
        <v>621</v>
      </c>
      <c r="J479" s="21" t="s">
        <v>621</v>
      </c>
      <c r="K479" s="21" t="s">
        <v>621</v>
      </c>
    </row>
    <row r="480" spans="1:11" x14ac:dyDescent="0.25">
      <c r="A480" s="20" t="s">
        <v>3558</v>
      </c>
      <c r="B480" s="21" t="s">
        <v>3293</v>
      </c>
      <c r="C480" s="21" t="s">
        <v>621</v>
      </c>
      <c r="D480" s="21" t="s">
        <v>621</v>
      </c>
      <c r="E480" s="21" t="s">
        <v>621</v>
      </c>
      <c r="F480" s="21" t="s">
        <v>621</v>
      </c>
      <c r="G480" s="21" t="s">
        <v>621</v>
      </c>
      <c r="H480" s="21" t="s">
        <v>621</v>
      </c>
      <c r="I480" s="21" t="s">
        <v>621</v>
      </c>
      <c r="J480" s="21" t="s">
        <v>621</v>
      </c>
      <c r="K480" s="21" t="s">
        <v>621</v>
      </c>
    </row>
    <row r="481" spans="1:11" x14ac:dyDescent="0.25">
      <c r="A481" s="20" t="s">
        <v>3559</v>
      </c>
      <c r="B481" s="21" t="s">
        <v>3560</v>
      </c>
      <c r="C481" s="21" t="s">
        <v>621</v>
      </c>
      <c r="D481" s="21" t="s">
        <v>621</v>
      </c>
      <c r="E481" s="21" t="s">
        <v>621</v>
      </c>
      <c r="F481" s="21" t="s">
        <v>621</v>
      </c>
      <c r="G481" s="21" t="s">
        <v>621</v>
      </c>
      <c r="H481" s="21" t="s">
        <v>621</v>
      </c>
      <c r="I481" s="21" t="s">
        <v>621</v>
      </c>
      <c r="J481" s="21" t="s">
        <v>621</v>
      </c>
      <c r="K481" s="21" t="s">
        <v>621</v>
      </c>
    </row>
    <row r="482" spans="1:11" x14ac:dyDescent="0.25">
      <c r="A482" s="20" t="s">
        <v>3561</v>
      </c>
      <c r="B482" s="21" t="s">
        <v>3286</v>
      </c>
      <c r="C482" s="21" t="s">
        <v>3562</v>
      </c>
      <c r="D482" s="21" t="s">
        <v>621</v>
      </c>
      <c r="E482" s="21" t="s">
        <v>621</v>
      </c>
      <c r="F482" s="21" t="s">
        <v>621</v>
      </c>
      <c r="G482" s="21" t="s">
        <v>621</v>
      </c>
      <c r="H482" s="21" t="s">
        <v>621</v>
      </c>
      <c r="I482" s="21" t="s">
        <v>621</v>
      </c>
      <c r="J482" s="21" t="s">
        <v>621</v>
      </c>
      <c r="K482" s="21" t="s">
        <v>621</v>
      </c>
    </row>
    <row r="483" spans="1:11" x14ac:dyDescent="0.25">
      <c r="A483" s="20" t="s">
        <v>3563</v>
      </c>
      <c r="B483" s="21" t="s">
        <v>3288</v>
      </c>
      <c r="C483" s="21" t="s">
        <v>621</v>
      </c>
      <c r="D483" s="21" t="s">
        <v>621</v>
      </c>
      <c r="E483" s="21" t="s">
        <v>621</v>
      </c>
      <c r="F483" s="21" t="s">
        <v>621</v>
      </c>
      <c r="G483" s="21" t="s">
        <v>621</v>
      </c>
      <c r="H483" s="21" t="s">
        <v>621</v>
      </c>
      <c r="I483" s="21" t="s">
        <v>621</v>
      </c>
      <c r="J483" s="21" t="s">
        <v>621</v>
      </c>
      <c r="K483" s="21" t="s">
        <v>621</v>
      </c>
    </row>
    <row r="484" spans="1:11" x14ac:dyDescent="0.25">
      <c r="A484" s="20" t="s">
        <v>3564</v>
      </c>
      <c r="B484" s="21" t="s">
        <v>3565</v>
      </c>
      <c r="C484" s="21" t="s">
        <v>621</v>
      </c>
      <c r="D484" s="21" t="s">
        <v>621</v>
      </c>
      <c r="E484" s="21" t="s">
        <v>621</v>
      </c>
      <c r="F484" s="21" t="s">
        <v>621</v>
      </c>
      <c r="G484" s="21" t="s">
        <v>621</v>
      </c>
      <c r="H484" s="21" t="s">
        <v>621</v>
      </c>
      <c r="I484" s="21" t="s">
        <v>621</v>
      </c>
      <c r="J484" s="21" t="s">
        <v>621</v>
      </c>
      <c r="K484" s="21" t="s">
        <v>621</v>
      </c>
    </row>
    <row r="485" spans="1:11" x14ac:dyDescent="0.25">
      <c r="A485" s="20" t="s">
        <v>2654</v>
      </c>
      <c r="B485" s="21" t="s">
        <v>2655</v>
      </c>
      <c r="C485" s="21" t="s">
        <v>3566</v>
      </c>
      <c r="D485" s="21" t="s">
        <v>3567</v>
      </c>
      <c r="E485" s="21" t="s">
        <v>3568</v>
      </c>
      <c r="F485" s="21" t="s">
        <v>621</v>
      </c>
      <c r="G485" s="21" t="s">
        <v>621</v>
      </c>
      <c r="H485" s="21" t="s">
        <v>621</v>
      </c>
      <c r="I485" s="21" t="s">
        <v>621</v>
      </c>
      <c r="J485" s="21" t="s">
        <v>621</v>
      </c>
      <c r="K485" s="21" t="s">
        <v>621</v>
      </c>
    </row>
    <row r="486" spans="1:11" x14ac:dyDescent="0.25">
      <c r="A486" s="20" t="s">
        <v>3569</v>
      </c>
      <c r="B486" s="21" t="s">
        <v>3570</v>
      </c>
      <c r="C486" s="21" t="s">
        <v>621</v>
      </c>
      <c r="D486" s="21" t="s">
        <v>621</v>
      </c>
      <c r="E486" s="21" t="s">
        <v>621</v>
      </c>
      <c r="F486" s="21" t="s">
        <v>621</v>
      </c>
      <c r="G486" s="21" t="s">
        <v>621</v>
      </c>
      <c r="H486" s="21" t="s">
        <v>621</v>
      </c>
      <c r="I486" s="21" t="s">
        <v>621</v>
      </c>
      <c r="J486" s="21" t="s">
        <v>621</v>
      </c>
      <c r="K486" s="21" t="s">
        <v>621</v>
      </c>
    </row>
    <row r="487" spans="1:11" x14ac:dyDescent="0.25">
      <c r="A487" s="20" t="s">
        <v>3571</v>
      </c>
      <c r="B487" s="21" t="s">
        <v>3570</v>
      </c>
      <c r="C487" s="21" t="s">
        <v>621</v>
      </c>
      <c r="D487" s="21" t="s">
        <v>621</v>
      </c>
      <c r="E487" s="21" t="s">
        <v>621</v>
      </c>
      <c r="F487" s="21" t="s">
        <v>621</v>
      </c>
      <c r="G487" s="21" t="s">
        <v>621</v>
      </c>
      <c r="H487" s="21" t="s">
        <v>621</v>
      </c>
      <c r="I487" s="21" t="s">
        <v>621</v>
      </c>
      <c r="J487" s="21" t="s">
        <v>621</v>
      </c>
      <c r="K487" s="21" t="s">
        <v>621</v>
      </c>
    </row>
    <row r="488" spans="1:11" x14ac:dyDescent="0.25">
      <c r="A488" s="20" t="s">
        <v>3572</v>
      </c>
      <c r="B488" s="21" t="s">
        <v>3573</v>
      </c>
      <c r="C488" s="21" t="s">
        <v>3574</v>
      </c>
      <c r="D488" s="21" t="s">
        <v>3575</v>
      </c>
      <c r="E488" s="21" t="s">
        <v>621</v>
      </c>
      <c r="F488" s="21" t="s">
        <v>621</v>
      </c>
      <c r="G488" s="21" t="s">
        <v>621</v>
      </c>
      <c r="H488" s="21" t="s">
        <v>621</v>
      </c>
      <c r="I488" s="21" t="s">
        <v>621</v>
      </c>
      <c r="J488" s="21" t="s">
        <v>621</v>
      </c>
      <c r="K488" s="21" t="s">
        <v>621</v>
      </c>
    </row>
    <row r="489" spans="1:11" x14ac:dyDescent="0.25">
      <c r="A489" s="20" t="s">
        <v>3576</v>
      </c>
      <c r="B489" s="21" t="s">
        <v>3577</v>
      </c>
      <c r="C489" s="21" t="s">
        <v>3578</v>
      </c>
      <c r="D489" s="21" t="s">
        <v>3579</v>
      </c>
      <c r="E489" s="21" t="s">
        <v>621</v>
      </c>
      <c r="F489" s="21" t="s">
        <v>621</v>
      </c>
      <c r="G489" s="21" t="s">
        <v>621</v>
      </c>
      <c r="H489" s="21" t="s">
        <v>621</v>
      </c>
      <c r="I489" s="21" t="s">
        <v>621</v>
      </c>
      <c r="J489" s="21" t="s">
        <v>621</v>
      </c>
      <c r="K489" s="21" t="s">
        <v>621</v>
      </c>
    </row>
    <row r="490" spans="1:11" x14ac:dyDescent="0.25">
      <c r="A490" s="20" t="s">
        <v>3580</v>
      </c>
      <c r="B490" s="21" t="s">
        <v>3577</v>
      </c>
      <c r="C490" s="21" t="s">
        <v>3578</v>
      </c>
      <c r="D490" s="21" t="s">
        <v>3579</v>
      </c>
      <c r="E490" s="21" t="s">
        <v>3570</v>
      </c>
      <c r="F490" s="21" t="s">
        <v>621</v>
      </c>
      <c r="G490" s="21" t="s">
        <v>621</v>
      </c>
      <c r="H490" s="21" t="s">
        <v>621</v>
      </c>
      <c r="I490" s="21" t="s">
        <v>621</v>
      </c>
      <c r="J490" s="21" t="s">
        <v>621</v>
      </c>
      <c r="K490" s="21" t="s">
        <v>621</v>
      </c>
    </row>
    <row r="491" spans="1:11" x14ac:dyDescent="0.25">
      <c r="A491" s="20" t="s">
        <v>2656</v>
      </c>
      <c r="B491" s="21" t="s">
        <v>2657</v>
      </c>
      <c r="C491" s="21" t="s">
        <v>2492</v>
      </c>
      <c r="D491" s="21" t="s">
        <v>3577</v>
      </c>
      <c r="E491" s="21" t="s">
        <v>3578</v>
      </c>
      <c r="F491" s="21" t="s">
        <v>3579</v>
      </c>
      <c r="G491" s="21" t="s">
        <v>621</v>
      </c>
      <c r="H491" s="21" t="s">
        <v>621</v>
      </c>
      <c r="I491" s="21" t="s">
        <v>621</v>
      </c>
      <c r="J491" s="21" t="s">
        <v>621</v>
      </c>
      <c r="K491" s="21" t="s">
        <v>621</v>
      </c>
    </row>
    <row r="492" spans="1:11" x14ac:dyDescent="0.25">
      <c r="A492" s="20" t="s">
        <v>2658</v>
      </c>
      <c r="B492" s="21" t="s">
        <v>2522</v>
      </c>
      <c r="C492" s="21" t="s">
        <v>621</v>
      </c>
      <c r="D492" s="21" t="s">
        <v>621</v>
      </c>
      <c r="E492" s="21" t="s">
        <v>621</v>
      </c>
      <c r="F492" s="21" t="s">
        <v>621</v>
      </c>
      <c r="G492" s="21" t="s">
        <v>621</v>
      </c>
      <c r="H492" s="21" t="s">
        <v>621</v>
      </c>
      <c r="I492" s="21" t="s">
        <v>621</v>
      </c>
      <c r="J492" s="21" t="s">
        <v>621</v>
      </c>
      <c r="K492" s="21" t="s">
        <v>621</v>
      </c>
    </row>
    <row r="493" spans="1:11" x14ac:dyDescent="0.25">
      <c r="A493" s="20" t="s">
        <v>3581</v>
      </c>
      <c r="B493" s="21" t="s">
        <v>3582</v>
      </c>
      <c r="C493" s="21" t="s">
        <v>621</v>
      </c>
      <c r="D493" s="21" t="s">
        <v>621</v>
      </c>
      <c r="E493" s="21" t="s">
        <v>621</v>
      </c>
      <c r="F493" s="21" t="s">
        <v>621</v>
      </c>
      <c r="G493" s="21" t="s">
        <v>621</v>
      </c>
      <c r="H493" s="21" t="s">
        <v>621</v>
      </c>
      <c r="I493" s="21" t="s">
        <v>621</v>
      </c>
      <c r="J493" s="21" t="s">
        <v>621</v>
      </c>
      <c r="K493" s="21" t="s">
        <v>621</v>
      </c>
    </row>
    <row r="494" spans="1:11" x14ac:dyDescent="0.25">
      <c r="A494" s="20" t="s">
        <v>2659</v>
      </c>
      <c r="B494" s="21" t="s">
        <v>2499</v>
      </c>
      <c r="C494" s="21" t="s">
        <v>2488</v>
      </c>
      <c r="D494" s="21" t="s">
        <v>2893</v>
      </c>
      <c r="E494" s="21" t="s">
        <v>2886</v>
      </c>
      <c r="F494" s="21" t="s">
        <v>2885</v>
      </c>
      <c r="G494" s="21" t="s">
        <v>621</v>
      </c>
      <c r="H494" s="21" t="s">
        <v>621</v>
      </c>
      <c r="I494" s="21" t="s">
        <v>621</v>
      </c>
      <c r="J494" s="21" t="s">
        <v>621</v>
      </c>
      <c r="K494" s="21" t="s">
        <v>621</v>
      </c>
    </row>
    <row r="495" spans="1:11" x14ac:dyDescent="0.25">
      <c r="A495" s="20" t="s">
        <v>2660</v>
      </c>
      <c r="B495" s="21" t="s">
        <v>2469</v>
      </c>
      <c r="C495" s="21" t="s">
        <v>2480</v>
      </c>
      <c r="D495" s="21" t="s">
        <v>2497</v>
      </c>
      <c r="E495" s="21" t="s">
        <v>3557</v>
      </c>
      <c r="F495" s="21" t="s">
        <v>3583</v>
      </c>
      <c r="G495" s="21" t="s">
        <v>2891</v>
      </c>
      <c r="H495" s="21" t="s">
        <v>621</v>
      </c>
      <c r="I495" s="21" t="s">
        <v>621</v>
      </c>
      <c r="J495" s="21" t="s">
        <v>621</v>
      </c>
      <c r="K495" s="21" t="s">
        <v>621</v>
      </c>
    </row>
    <row r="496" spans="1:11" x14ac:dyDescent="0.25">
      <c r="A496" s="20" t="s">
        <v>2661</v>
      </c>
      <c r="B496" s="21" t="s">
        <v>2480</v>
      </c>
      <c r="C496" s="21" t="s">
        <v>2497</v>
      </c>
      <c r="D496" s="21" t="s">
        <v>3584</v>
      </c>
      <c r="E496" s="21" t="s">
        <v>621</v>
      </c>
      <c r="F496" s="21" t="s">
        <v>621</v>
      </c>
      <c r="G496" s="21" t="s">
        <v>621</v>
      </c>
      <c r="H496" s="21" t="s">
        <v>621</v>
      </c>
      <c r="I496" s="21" t="s">
        <v>621</v>
      </c>
      <c r="J496" s="21" t="s">
        <v>621</v>
      </c>
      <c r="K496" s="21" t="s">
        <v>621</v>
      </c>
    </row>
    <row r="497" spans="1:11" x14ac:dyDescent="0.25">
      <c r="A497" s="20" t="s">
        <v>2662</v>
      </c>
      <c r="B497" s="21" t="s">
        <v>2480</v>
      </c>
      <c r="C497" s="21" t="s">
        <v>2497</v>
      </c>
      <c r="D497" s="21" t="s">
        <v>2887</v>
      </c>
      <c r="E497" s="21" t="s">
        <v>621</v>
      </c>
      <c r="F497" s="21" t="s">
        <v>621</v>
      </c>
      <c r="G497" s="21" t="s">
        <v>621</v>
      </c>
      <c r="H497" s="21" t="s">
        <v>621</v>
      </c>
      <c r="I497" s="21" t="s">
        <v>621</v>
      </c>
      <c r="J497" s="21" t="s">
        <v>621</v>
      </c>
      <c r="K497" s="21" t="s">
        <v>621</v>
      </c>
    </row>
    <row r="498" spans="1:11" x14ac:dyDescent="0.25">
      <c r="A498" s="20" t="s">
        <v>3585</v>
      </c>
      <c r="B498" s="21" t="s">
        <v>3584</v>
      </c>
      <c r="C498" s="21" t="s">
        <v>621</v>
      </c>
      <c r="D498" s="21" t="s">
        <v>621</v>
      </c>
      <c r="E498" s="21" t="s">
        <v>621</v>
      </c>
      <c r="F498" s="21" t="s">
        <v>621</v>
      </c>
      <c r="G498" s="21" t="s">
        <v>621</v>
      </c>
      <c r="H498" s="21" t="s">
        <v>621</v>
      </c>
      <c r="I498" s="21" t="s">
        <v>621</v>
      </c>
      <c r="J498" s="21" t="s">
        <v>621</v>
      </c>
      <c r="K498" s="21" t="s">
        <v>621</v>
      </c>
    </row>
    <row r="499" spans="1:11" x14ac:dyDescent="0.25">
      <c r="A499" s="20" t="s">
        <v>2663</v>
      </c>
      <c r="B499" s="21" t="s">
        <v>2480</v>
      </c>
      <c r="C499" s="21" t="s">
        <v>2497</v>
      </c>
      <c r="D499" s="21" t="s">
        <v>2887</v>
      </c>
      <c r="E499" s="21" t="s">
        <v>621</v>
      </c>
      <c r="F499" s="21" t="s">
        <v>621</v>
      </c>
      <c r="G499" s="21" t="s">
        <v>621</v>
      </c>
      <c r="H499" s="21" t="s">
        <v>621</v>
      </c>
      <c r="I499" s="21" t="s">
        <v>621</v>
      </c>
      <c r="J499" s="21" t="s">
        <v>621</v>
      </c>
      <c r="K499" s="21" t="s">
        <v>621</v>
      </c>
    </row>
    <row r="500" spans="1:11" x14ac:dyDescent="0.25">
      <c r="A500" s="20" t="s">
        <v>3586</v>
      </c>
      <c r="B500" s="21" t="s">
        <v>3582</v>
      </c>
      <c r="C500" s="21" t="s">
        <v>621</v>
      </c>
      <c r="D500" s="21" t="s">
        <v>621</v>
      </c>
      <c r="E500" s="21" t="s">
        <v>621</v>
      </c>
      <c r="F500" s="21" t="s">
        <v>621</v>
      </c>
      <c r="G500" s="21" t="s">
        <v>621</v>
      </c>
      <c r="H500" s="21" t="s">
        <v>621</v>
      </c>
      <c r="I500" s="21" t="s">
        <v>621</v>
      </c>
      <c r="J500" s="21" t="s">
        <v>621</v>
      </c>
      <c r="K500" s="21" t="s">
        <v>621</v>
      </c>
    </row>
    <row r="501" spans="1:11" x14ac:dyDescent="0.25">
      <c r="A501" s="20" t="s">
        <v>2664</v>
      </c>
      <c r="B501" s="21" t="s">
        <v>2499</v>
      </c>
      <c r="C501" s="21" t="s">
        <v>2488</v>
      </c>
      <c r="D501" s="21" t="s">
        <v>2893</v>
      </c>
      <c r="E501" s="21" t="s">
        <v>2886</v>
      </c>
      <c r="F501" s="21" t="s">
        <v>2885</v>
      </c>
      <c r="G501" s="21" t="s">
        <v>621</v>
      </c>
      <c r="H501" s="21" t="s">
        <v>621</v>
      </c>
      <c r="I501" s="21" t="s">
        <v>621</v>
      </c>
      <c r="J501" s="21" t="s">
        <v>621</v>
      </c>
      <c r="K501" s="21" t="s">
        <v>621</v>
      </c>
    </row>
    <row r="502" spans="1:11" x14ac:dyDescent="0.25">
      <c r="A502" s="20" t="s">
        <v>2665</v>
      </c>
      <c r="B502" s="21" t="s">
        <v>2469</v>
      </c>
      <c r="C502" s="21" t="s">
        <v>2480</v>
      </c>
      <c r="D502" s="21" t="s">
        <v>2497</v>
      </c>
      <c r="E502" s="21" t="s">
        <v>3557</v>
      </c>
      <c r="F502" s="21" t="s">
        <v>2891</v>
      </c>
      <c r="G502" s="21" t="s">
        <v>3587</v>
      </c>
      <c r="H502" s="21" t="s">
        <v>621</v>
      </c>
      <c r="I502" s="21" t="s">
        <v>621</v>
      </c>
      <c r="J502" s="21" t="s">
        <v>621</v>
      </c>
      <c r="K502" s="21" t="s">
        <v>621</v>
      </c>
    </row>
    <row r="503" spans="1:11" x14ac:dyDescent="0.25">
      <c r="A503" s="20" t="s">
        <v>3588</v>
      </c>
      <c r="B503" s="21" t="s">
        <v>3589</v>
      </c>
      <c r="C503" s="21" t="s">
        <v>621</v>
      </c>
      <c r="D503" s="21" t="s">
        <v>621</v>
      </c>
      <c r="E503" s="21" t="s">
        <v>621</v>
      </c>
      <c r="F503" s="21" t="s">
        <v>621</v>
      </c>
      <c r="G503" s="21" t="s">
        <v>621</v>
      </c>
      <c r="H503" s="21" t="s">
        <v>621</v>
      </c>
      <c r="I503" s="21" t="s">
        <v>621</v>
      </c>
      <c r="J503" s="21" t="s">
        <v>621</v>
      </c>
      <c r="K503" s="21" t="s">
        <v>621</v>
      </c>
    </row>
    <row r="504" spans="1:11" x14ac:dyDescent="0.25">
      <c r="A504" s="20" t="s">
        <v>3590</v>
      </c>
      <c r="B504" s="21" t="s">
        <v>3589</v>
      </c>
      <c r="C504" s="21" t="s">
        <v>621</v>
      </c>
      <c r="D504" s="21" t="s">
        <v>621</v>
      </c>
      <c r="E504" s="21" t="s">
        <v>621</v>
      </c>
      <c r="F504" s="21" t="s">
        <v>621</v>
      </c>
      <c r="G504" s="21" t="s">
        <v>621</v>
      </c>
      <c r="H504" s="21" t="s">
        <v>621</v>
      </c>
      <c r="I504" s="21" t="s">
        <v>621</v>
      </c>
      <c r="J504" s="21" t="s">
        <v>621</v>
      </c>
      <c r="K504" s="21" t="s">
        <v>621</v>
      </c>
    </row>
    <row r="505" spans="1:11" x14ac:dyDescent="0.25">
      <c r="A505" s="20" t="s">
        <v>2666</v>
      </c>
      <c r="B505" s="21" t="s">
        <v>2667</v>
      </c>
      <c r="C505" s="21" t="s">
        <v>3591</v>
      </c>
      <c r="D505" s="21" t="s">
        <v>621</v>
      </c>
      <c r="E505" s="21" t="s">
        <v>621</v>
      </c>
      <c r="F505" s="21" t="s">
        <v>621</v>
      </c>
      <c r="G505" s="21" t="s">
        <v>621</v>
      </c>
      <c r="H505" s="21" t="s">
        <v>621</v>
      </c>
      <c r="I505" s="21" t="s">
        <v>621</v>
      </c>
      <c r="J505" s="21" t="s">
        <v>621</v>
      </c>
      <c r="K505" s="21" t="s">
        <v>621</v>
      </c>
    </row>
    <row r="506" spans="1:11" x14ac:dyDescent="0.25">
      <c r="A506" s="20" t="s">
        <v>3592</v>
      </c>
      <c r="B506" s="21" t="s">
        <v>3593</v>
      </c>
      <c r="C506" s="21" t="s">
        <v>621</v>
      </c>
      <c r="D506" s="21" t="s">
        <v>621</v>
      </c>
      <c r="E506" s="21" t="s">
        <v>621</v>
      </c>
      <c r="F506" s="21" t="s">
        <v>621</v>
      </c>
      <c r="G506" s="21" t="s">
        <v>621</v>
      </c>
      <c r="H506" s="21" t="s">
        <v>621</v>
      </c>
      <c r="I506" s="21" t="s">
        <v>621</v>
      </c>
      <c r="J506" s="21" t="s">
        <v>621</v>
      </c>
      <c r="K506" s="21" t="s">
        <v>621</v>
      </c>
    </row>
    <row r="507" spans="1:11" x14ac:dyDescent="0.25">
      <c r="A507" s="20" t="s">
        <v>3594</v>
      </c>
      <c r="B507" s="21" t="s">
        <v>3595</v>
      </c>
      <c r="C507" s="21" t="s">
        <v>621</v>
      </c>
      <c r="D507" s="21" t="s">
        <v>621</v>
      </c>
      <c r="E507" s="21" t="s">
        <v>621</v>
      </c>
      <c r="F507" s="21" t="s">
        <v>621</v>
      </c>
      <c r="G507" s="21" t="s">
        <v>621</v>
      </c>
      <c r="H507" s="21" t="s">
        <v>621</v>
      </c>
      <c r="I507" s="21" t="s">
        <v>621</v>
      </c>
      <c r="J507" s="21" t="s">
        <v>621</v>
      </c>
      <c r="K507" s="21" t="s">
        <v>621</v>
      </c>
    </row>
    <row r="508" spans="1:11" x14ac:dyDescent="0.25">
      <c r="A508" s="20" t="s">
        <v>2668</v>
      </c>
      <c r="B508" s="21" t="s">
        <v>2497</v>
      </c>
      <c r="C508" s="21" t="s">
        <v>3596</v>
      </c>
      <c r="D508" s="21" t="s">
        <v>621</v>
      </c>
      <c r="E508" s="21" t="s">
        <v>621</v>
      </c>
      <c r="F508" s="21" t="s">
        <v>621</v>
      </c>
      <c r="G508" s="21" t="s">
        <v>621</v>
      </c>
      <c r="H508" s="21" t="s">
        <v>621</v>
      </c>
      <c r="I508" s="21" t="s">
        <v>621</v>
      </c>
      <c r="J508" s="21" t="s">
        <v>621</v>
      </c>
      <c r="K508" s="21" t="s">
        <v>621</v>
      </c>
    </row>
    <row r="509" spans="1:11" x14ac:dyDescent="0.25">
      <c r="A509" s="20" t="s">
        <v>3597</v>
      </c>
      <c r="B509" s="21" t="s">
        <v>3598</v>
      </c>
      <c r="C509" s="21" t="s">
        <v>621</v>
      </c>
      <c r="D509" s="21" t="s">
        <v>621</v>
      </c>
      <c r="E509" s="21" t="s">
        <v>621</v>
      </c>
      <c r="F509" s="21" t="s">
        <v>621</v>
      </c>
      <c r="G509" s="21" t="s">
        <v>621</v>
      </c>
      <c r="H509" s="21" t="s">
        <v>621</v>
      </c>
      <c r="I509" s="21" t="s">
        <v>621</v>
      </c>
      <c r="J509" s="21" t="s">
        <v>621</v>
      </c>
      <c r="K509" s="21" t="s">
        <v>621</v>
      </c>
    </row>
    <row r="510" spans="1:11" x14ac:dyDescent="0.25">
      <c r="A510" s="20" t="s">
        <v>3599</v>
      </c>
      <c r="B510" s="21" t="s">
        <v>3600</v>
      </c>
      <c r="C510" s="21" t="s">
        <v>621</v>
      </c>
      <c r="D510" s="21" t="s">
        <v>621</v>
      </c>
      <c r="E510" s="21" t="s">
        <v>621</v>
      </c>
      <c r="F510" s="21" t="s">
        <v>621</v>
      </c>
      <c r="G510" s="21" t="s">
        <v>621</v>
      </c>
      <c r="H510" s="21" t="s">
        <v>621</v>
      </c>
      <c r="I510" s="21" t="s">
        <v>621</v>
      </c>
      <c r="J510" s="21" t="s">
        <v>621</v>
      </c>
      <c r="K510" s="21" t="s">
        <v>621</v>
      </c>
    </row>
    <row r="511" spans="1:11" x14ac:dyDescent="0.25">
      <c r="A511" s="20" t="s">
        <v>3601</v>
      </c>
      <c r="B511" s="21" t="s">
        <v>3602</v>
      </c>
      <c r="C511" s="21" t="s">
        <v>621</v>
      </c>
      <c r="D511" s="21" t="s">
        <v>621</v>
      </c>
      <c r="E511" s="21" t="s">
        <v>621</v>
      </c>
      <c r="F511" s="21" t="s">
        <v>621</v>
      </c>
      <c r="G511" s="21" t="s">
        <v>621</v>
      </c>
      <c r="H511" s="21" t="s">
        <v>621</v>
      </c>
      <c r="I511" s="21" t="s">
        <v>621</v>
      </c>
      <c r="J511" s="21" t="s">
        <v>621</v>
      </c>
      <c r="K511" s="21" t="s">
        <v>621</v>
      </c>
    </row>
    <row r="512" spans="1:11" x14ac:dyDescent="0.25">
      <c r="A512" s="20" t="s">
        <v>3603</v>
      </c>
      <c r="B512" s="21" t="s">
        <v>3604</v>
      </c>
      <c r="C512" s="21" t="s">
        <v>621</v>
      </c>
      <c r="D512" s="21" t="s">
        <v>621</v>
      </c>
      <c r="E512" s="21" t="s">
        <v>621</v>
      </c>
      <c r="F512" s="21" t="s">
        <v>621</v>
      </c>
      <c r="G512" s="21" t="s">
        <v>621</v>
      </c>
      <c r="H512" s="21" t="s">
        <v>621</v>
      </c>
      <c r="I512" s="21" t="s">
        <v>621</v>
      </c>
      <c r="J512" s="21" t="s">
        <v>621</v>
      </c>
      <c r="K512" s="21" t="s">
        <v>621</v>
      </c>
    </row>
    <row r="513" spans="1:11" x14ac:dyDescent="0.25">
      <c r="A513" s="20" t="s">
        <v>3605</v>
      </c>
      <c r="B513" s="21" t="s">
        <v>3412</v>
      </c>
      <c r="C513" s="21" t="s">
        <v>621</v>
      </c>
      <c r="D513" s="21" t="s">
        <v>621</v>
      </c>
      <c r="E513" s="21" t="s">
        <v>621</v>
      </c>
      <c r="F513" s="21" t="s">
        <v>621</v>
      </c>
      <c r="G513" s="21" t="s">
        <v>621</v>
      </c>
      <c r="H513" s="21" t="s">
        <v>621</v>
      </c>
      <c r="I513" s="21" t="s">
        <v>621</v>
      </c>
      <c r="J513" s="21" t="s">
        <v>621</v>
      </c>
      <c r="K513" s="21" t="s">
        <v>621</v>
      </c>
    </row>
    <row r="514" spans="1:11" x14ac:dyDescent="0.25">
      <c r="A514" s="20" t="s">
        <v>3606</v>
      </c>
      <c r="B514" s="21" t="s">
        <v>3419</v>
      </c>
      <c r="C514" s="21" t="s">
        <v>621</v>
      </c>
      <c r="D514" s="21" t="s">
        <v>621</v>
      </c>
      <c r="E514" s="21" t="s">
        <v>621</v>
      </c>
      <c r="F514" s="21" t="s">
        <v>621</v>
      </c>
      <c r="G514" s="21" t="s">
        <v>621</v>
      </c>
      <c r="H514" s="21" t="s">
        <v>621</v>
      </c>
      <c r="I514" s="21" t="s">
        <v>621</v>
      </c>
      <c r="J514" s="21" t="s">
        <v>621</v>
      </c>
      <c r="K514" s="21" t="s">
        <v>621</v>
      </c>
    </row>
    <row r="515" spans="1:11" x14ac:dyDescent="0.25">
      <c r="A515" s="20" t="s">
        <v>3607</v>
      </c>
      <c r="B515" s="21" t="s">
        <v>3608</v>
      </c>
      <c r="C515" s="21" t="s">
        <v>621</v>
      </c>
      <c r="D515" s="21" t="s">
        <v>621</v>
      </c>
      <c r="E515" s="21" t="s">
        <v>621</v>
      </c>
      <c r="F515" s="21" t="s">
        <v>621</v>
      </c>
      <c r="G515" s="21" t="s">
        <v>621</v>
      </c>
      <c r="H515" s="21" t="s">
        <v>621</v>
      </c>
      <c r="I515" s="21" t="s">
        <v>621</v>
      </c>
      <c r="J515" s="21" t="s">
        <v>621</v>
      </c>
      <c r="K515" s="21" t="s">
        <v>621</v>
      </c>
    </row>
    <row r="516" spans="1:11" x14ac:dyDescent="0.25">
      <c r="A516" s="20" t="s">
        <v>3609</v>
      </c>
      <c r="B516" s="21" t="s">
        <v>3608</v>
      </c>
      <c r="C516" s="21" t="s">
        <v>621</v>
      </c>
      <c r="D516" s="21" t="s">
        <v>621</v>
      </c>
      <c r="E516" s="21" t="s">
        <v>621</v>
      </c>
      <c r="F516" s="21" t="s">
        <v>621</v>
      </c>
      <c r="G516" s="21" t="s">
        <v>621</v>
      </c>
      <c r="H516" s="21" t="s">
        <v>621</v>
      </c>
      <c r="I516" s="21" t="s">
        <v>621</v>
      </c>
      <c r="J516" s="21" t="s">
        <v>621</v>
      </c>
      <c r="K516" s="21" t="s">
        <v>621</v>
      </c>
    </row>
    <row r="517" spans="1:11" x14ac:dyDescent="0.25">
      <c r="A517" s="20" t="s">
        <v>3610</v>
      </c>
      <c r="B517" s="21" t="s">
        <v>3611</v>
      </c>
      <c r="C517" s="21" t="s">
        <v>621</v>
      </c>
      <c r="D517" s="21" t="s">
        <v>621</v>
      </c>
      <c r="E517" s="21" t="s">
        <v>621</v>
      </c>
      <c r="F517" s="21" t="s">
        <v>621</v>
      </c>
      <c r="G517" s="21" t="s">
        <v>621</v>
      </c>
      <c r="H517" s="21" t="s">
        <v>621</v>
      </c>
      <c r="I517" s="21" t="s">
        <v>621</v>
      </c>
      <c r="J517" s="21" t="s">
        <v>621</v>
      </c>
      <c r="K517" s="21" t="s">
        <v>621</v>
      </c>
    </row>
    <row r="518" spans="1:11" x14ac:dyDescent="0.25">
      <c r="A518" s="20" t="s">
        <v>3612</v>
      </c>
      <c r="B518" s="21" t="s">
        <v>3613</v>
      </c>
      <c r="C518" s="21" t="s">
        <v>621</v>
      </c>
      <c r="D518" s="21" t="s">
        <v>621</v>
      </c>
      <c r="E518" s="21" t="s">
        <v>621</v>
      </c>
      <c r="F518" s="21" t="s">
        <v>621</v>
      </c>
      <c r="G518" s="21" t="s">
        <v>621</v>
      </c>
      <c r="H518" s="21" t="s">
        <v>621</v>
      </c>
      <c r="I518" s="21" t="s">
        <v>621</v>
      </c>
      <c r="J518" s="21" t="s">
        <v>621</v>
      </c>
      <c r="K518" s="21" t="s">
        <v>621</v>
      </c>
    </row>
    <row r="519" spans="1:11" x14ac:dyDescent="0.25">
      <c r="A519" s="20" t="s">
        <v>3614</v>
      </c>
      <c r="B519" s="21" t="s">
        <v>3615</v>
      </c>
      <c r="C519" s="21" t="s">
        <v>621</v>
      </c>
      <c r="D519" s="21" t="s">
        <v>621</v>
      </c>
      <c r="E519" s="21" t="s">
        <v>621</v>
      </c>
      <c r="F519" s="21" t="s">
        <v>621</v>
      </c>
      <c r="G519" s="21" t="s">
        <v>621</v>
      </c>
      <c r="H519" s="21" t="s">
        <v>621</v>
      </c>
      <c r="I519" s="21" t="s">
        <v>621</v>
      </c>
      <c r="J519" s="21" t="s">
        <v>621</v>
      </c>
      <c r="K519" s="21" t="s">
        <v>621</v>
      </c>
    </row>
    <row r="520" spans="1:11" x14ac:dyDescent="0.25">
      <c r="A520" s="20" t="s">
        <v>3616</v>
      </c>
      <c r="B520" s="21" t="s">
        <v>3419</v>
      </c>
      <c r="C520" s="21" t="s">
        <v>621</v>
      </c>
      <c r="D520" s="21" t="s">
        <v>621</v>
      </c>
      <c r="E520" s="21" t="s">
        <v>621</v>
      </c>
      <c r="F520" s="21" t="s">
        <v>621</v>
      </c>
      <c r="G520" s="21" t="s">
        <v>621</v>
      </c>
      <c r="H520" s="21" t="s">
        <v>621</v>
      </c>
      <c r="I520" s="21" t="s">
        <v>621</v>
      </c>
      <c r="J520" s="21" t="s">
        <v>621</v>
      </c>
      <c r="K520" s="21" t="s">
        <v>621</v>
      </c>
    </row>
    <row r="521" spans="1:11" x14ac:dyDescent="0.25">
      <c r="A521" s="20" t="s">
        <v>3617</v>
      </c>
      <c r="B521" s="21" t="s">
        <v>3618</v>
      </c>
      <c r="C521" s="21" t="s">
        <v>621</v>
      </c>
      <c r="D521" s="21" t="s">
        <v>621</v>
      </c>
      <c r="E521" s="21" t="s">
        <v>621</v>
      </c>
      <c r="F521" s="21" t="s">
        <v>621</v>
      </c>
      <c r="G521" s="21" t="s">
        <v>621</v>
      </c>
      <c r="H521" s="21" t="s">
        <v>621</v>
      </c>
      <c r="I521" s="21" t="s">
        <v>621</v>
      </c>
      <c r="J521" s="21" t="s">
        <v>621</v>
      </c>
      <c r="K521" s="21" t="s">
        <v>621</v>
      </c>
    </row>
    <row r="522" spans="1:11" x14ac:dyDescent="0.25">
      <c r="A522" s="20" t="s">
        <v>3619</v>
      </c>
      <c r="B522" s="21" t="s">
        <v>3611</v>
      </c>
      <c r="C522" s="21" t="s">
        <v>621</v>
      </c>
      <c r="D522" s="21" t="s">
        <v>621</v>
      </c>
      <c r="E522" s="21" t="s">
        <v>621</v>
      </c>
      <c r="F522" s="21" t="s">
        <v>621</v>
      </c>
      <c r="G522" s="21" t="s">
        <v>621</v>
      </c>
      <c r="H522" s="21" t="s">
        <v>621</v>
      </c>
      <c r="I522" s="21" t="s">
        <v>621</v>
      </c>
      <c r="J522" s="21" t="s">
        <v>621</v>
      </c>
      <c r="K522" s="21" t="s">
        <v>621</v>
      </c>
    </row>
    <row r="523" spans="1:11" x14ac:dyDescent="0.25">
      <c r="A523" s="20" t="s">
        <v>2669</v>
      </c>
      <c r="B523" s="21" t="s">
        <v>2449</v>
      </c>
      <c r="C523" s="21" t="s">
        <v>2533</v>
      </c>
      <c r="D523" s="21" t="s">
        <v>2451</v>
      </c>
      <c r="E523" s="21" t="s">
        <v>2534</v>
      </c>
      <c r="F523" s="21" t="s">
        <v>3620</v>
      </c>
      <c r="G523" s="21" t="s">
        <v>3621</v>
      </c>
      <c r="H523" s="21" t="s">
        <v>3004</v>
      </c>
      <c r="I523" s="21" t="s">
        <v>3622</v>
      </c>
      <c r="J523" s="21" t="s">
        <v>621</v>
      </c>
      <c r="K523" s="21" t="s">
        <v>621</v>
      </c>
    </row>
    <row r="524" spans="1:11" x14ac:dyDescent="0.25">
      <c r="A524" s="20" t="s">
        <v>3623</v>
      </c>
      <c r="B524" s="21" t="s">
        <v>3624</v>
      </c>
      <c r="C524" s="21" t="s">
        <v>3625</v>
      </c>
      <c r="D524" s="21" t="s">
        <v>621</v>
      </c>
      <c r="E524" s="21" t="s">
        <v>621</v>
      </c>
      <c r="F524" s="21" t="s">
        <v>621</v>
      </c>
      <c r="G524" s="21" t="s">
        <v>621</v>
      </c>
      <c r="H524" s="21" t="s">
        <v>621</v>
      </c>
      <c r="I524" s="21" t="s">
        <v>621</v>
      </c>
      <c r="J524" s="21" t="s">
        <v>621</v>
      </c>
      <c r="K524" s="21" t="s">
        <v>621</v>
      </c>
    </row>
    <row r="525" spans="1:11" x14ac:dyDescent="0.25">
      <c r="A525" s="20" t="s">
        <v>2670</v>
      </c>
      <c r="B525" s="21" t="s">
        <v>2671</v>
      </c>
      <c r="C525" s="21" t="s">
        <v>2522</v>
      </c>
      <c r="D525" s="21" t="s">
        <v>3626</v>
      </c>
      <c r="E525" s="21" t="s">
        <v>3627</v>
      </c>
      <c r="F525" s="21" t="s">
        <v>621</v>
      </c>
      <c r="G525" s="21" t="s">
        <v>621</v>
      </c>
      <c r="H525" s="21" t="s">
        <v>621</v>
      </c>
      <c r="I525" s="21" t="s">
        <v>621</v>
      </c>
      <c r="J525" s="21" t="s">
        <v>621</v>
      </c>
      <c r="K525" s="21" t="s">
        <v>621</v>
      </c>
    </row>
    <row r="526" spans="1:11" x14ac:dyDescent="0.25">
      <c r="A526" s="20" t="s">
        <v>2672</v>
      </c>
      <c r="B526" s="21" t="s">
        <v>2673</v>
      </c>
      <c r="C526" s="21" t="s">
        <v>2462</v>
      </c>
      <c r="D526" s="21" t="s">
        <v>621</v>
      </c>
      <c r="E526" s="21" t="s">
        <v>621</v>
      </c>
      <c r="F526" s="21" t="s">
        <v>621</v>
      </c>
      <c r="G526" s="21" t="s">
        <v>621</v>
      </c>
      <c r="H526" s="21" t="s">
        <v>621</v>
      </c>
      <c r="I526" s="21" t="s">
        <v>621</v>
      </c>
      <c r="J526" s="21" t="s">
        <v>621</v>
      </c>
      <c r="K526" s="21" t="s">
        <v>621</v>
      </c>
    </row>
    <row r="527" spans="1:11" x14ac:dyDescent="0.25">
      <c r="A527" s="20" t="s">
        <v>3628</v>
      </c>
      <c r="B527" s="21" t="s">
        <v>3629</v>
      </c>
      <c r="C527" s="21" t="s">
        <v>3630</v>
      </c>
      <c r="D527" s="21" t="s">
        <v>621</v>
      </c>
      <c r="E527" s="21" t="s">
        <v>621</v>
      </c>
      <c r="F527" s="21" t="s">
        <v>621</v>
      </c>
      <c r="G527" s="21" t="s">
        <v>621</v>
      </c>
      <c r="H527" s="21" t="s">
        <v>621</v>
      </c>
      <c r="I527" s="21" t="s">
        <v>621</v>
      </c>
      <c r="J527" s="21" t="s">
        <v>621</v>
      </c>
      <c r="K527" s="21" t="s">
        <v>621</v>
      </c>
    </row>
    <row r="528" spans="1:11" x14ac:dyDescent="0.25">
      <c r="A528" s="20" t="s">
        <v>3631</v>
      </c>
      <c r="B528" s="21" t="s">
        <v>3632</v>
      </c>
      <c r="C528" s="21" t="s">
        <v>621</v>
      </c>
      <c r="D528" s="21" t="s">
        <v>621</v>
      </c>
      <c r="E528" s="21" t="s">
        <v>621</v>
      </c>
      <c r="F528" s="21" t="s">
        <v>621</v>
      </c>
      <c r="G528" s="21" t="s">
        <v>621</v>
      </c>
      <c r="H528" s="21" t="s">
        <v>621</v>
      </c>
      <c r="I528" s="21" t="s">
        <v>621</v>
      </c>
      <c r="J528" s="21" t="s">
        <v>621</v>
      </c>
      <c r="K528" s="21" t="s">
        <v>621</v>
      </c>
    </row>
    <row r="529" spans="1:11" x14ac:dyDescent="0.25">
      <c r="A529" s="20" t="s">
        <v>3633</v>
      </c>
      <c r="B529" s="21" t="s">
        <v>3634</v>
      </c>
      <c r="C529" s="21" t="s">
        <v>621</v>
      </c>
      <c r="D529" s="21" t="s">
        <v>621</v>
      </c>
      <c r="E529" s="21" t="s">
        <v>621</v>
      </c>
      <c r="F529" s="21" t="s">
        <v>621</v>
      </c>
      <c r="G529" s="21" t="s">
        <v>621</v>
      </c>
      <c r="H529" s="21" t="s">
        <v>621</v>
      </c>
      <c r="I529" s="21" t="s">
        <v>621</v>
      </c>
      <c r="J529" s="21" t="s">
        <v>621</v>
      </c>
      <c r="K529" s="21" t="s">
        <v>621</v>
      </c>
    </row>
    <row r="530" spans="1:11" x14ac:dyDescent="0.25">
      <c r="A530" s="20" t="s">
        <v>3635</v>
      </c>
      <c r="B530" s="21" t="s">
        <v>3636</v>
      </c>
      <c r="C530" s="21" t="s">
        <v>621</v>
      </c>
      <c r="D530" s="21" t="s">
        <v>621</v>
      </c>
      <c r="E530" s="21" t="s">
        <v>621</v>
      </c>
      <c r="F530" s="21" t="s">
        <v>621</v>
      </c>
      <c r="G530" s="21" t="s">
        <v>621</v>
      </c>
      <c r="H530" s="21" t="s">
        <v>621</v>
      </c>
      <c r="I530" s="21" t="s">
        <v>621</v>
      </c>
      <c r="J530" s="21" t="s">
        <v>621</v>
      </c>
      <c r="K530" s="21" t="s">
        <v>621</v>
      </c>
    </row>
    <row r="531" spans="1:11" x14ac:dyDescent="0.25">
      <c r="A531" s="20" t="s">
        <v>3637</v>
      </c>
      <c r="B531" s="21" t="s">
        <v>3638</v>
      </c>
      <c r="C531" s="21" t="s">
        <v>621</v>
      </c>
      <c r="D531" s="21" t="s">
        <v>621</v>
      </c>
      <c r="E531" s="21" t="s">
        <v>621</v>
      </c>
      <c r="F531" s="21" t="s">
        <v>621</v>
      </c>
      <c r="G531" s="21" t="s">
        <v>621</v>
      </c>
      <c r="H531" s="21" t="s">
        <v>621</v>
      </c>
      <c r="I531" s="21" t="s">
        <v>621</v>
      </c>
      <c r="J531" s="21" t="s">
        <v>621</v>
      </c>
      <c r="K531" s="21" t="s">
        <v>621</v>
      </c>
    </row>
    <row r="532" spans="1:11" x14ac:dyDescent="0.25">
      <c r="A532" s="20" t="s">
        <v>3639</v>
      </c>
      <c r="B532" s="21" t="s">
        <v>3629</v>
      </c>
      <c r="C532" s="21" t="s">
        <v>3630</v>
      </c>
      <c r="D532" s="21" t="s">
        <v>621</v>
      </c>
      <c r="E532" s="21" t="s">
        <v>621</v>
      </c>
      <c r="F532" s="21" t="s">
        <v>621</v>
      </c>
      <c r="G532" s="21" t="s">
        <v>621</v>
      </c>
      <c r="H532" s="21" t="s">
        <v>621</v>
      </c>
      <c r="I532" s="21" t="s">
        <v>621</v>
      </c>
      <c r="J532" s="21" t="s">
        <v>621</v>
      </c>
      <c r="K532" s="21" t="s">
        <v>621</v>
      </c>
    </row>
    <row r="533" spans="1:11" x14ac:dyDescent="0.25">
      <c r="A533" s="20" t="s">
        <v>2674</v>
      </c>
      <c r="B533" s="21" t="s">
        <v>2472</v>
      </c>
      <c r="C533" s="21" t="s">
        <v>2471</v>
      </c>
      <c r="D533" s="21" t="s">
        <v>3640</v>
      </c>
      <c r="E533" s="21" t="s">
        <v>621</v>
      </c>
      <c r="F533" s="21" t="s">
        <v>621</v>
      </c>
      <c r="G533" s="21" t="s">
        <v>621</v>
      </c>
      <c r="H533" s="21" t="s">
        <v>621</v>
      </c>
      <c r="I533" s="21" t="s">
        <v>621</v>
      </c>
      <c r="J533" s="21" t="s">
        <v>621</v>
      </c>
      <c r="K533" s="21" t="s">
        <v>621</v>
      </c>
    </row>
    <row r="534" spans="1:11" x14ac:dyDescent="0.25">
      <c r="A534" s="20" t="s">
        <v>3641</v>
      </c>
      <c r="B534" s="21" t="s">
        <v>2912</v>
      </c>
      <c r="C534" s="21" t="s">
        <v>2913</v>
      </c>
      <c r="D534" s="21" t="s">
        <v>621</v>
      </c>
      <c r="E534" s="21" t="s">
        <v>621</v>
      </c>
      <c r="F534" s="21" t="s">
        <v>621</v>
      </c>
      <c r="G534" s="21" t="s">
        <v>621</v>
      </c>
      <c r="H534" s="21" t="s">
        <v>621</v>
      </c>
      <c r="I534" s="21" t="s">
        <v>621</v>
      </c>
      <c r="J534" s="21" t="s">
        <v>621</v>
      </c>
      <c r="K534" s="21" t="s">
        <v>621</v>
      </c>
    </row>
    <row r="535" spans="1:11" x14ac:dyDescent="0.25">
      <c r="A535" s="20" t="s">
        <v>3642</v>
      </c>
      <c r="B535" s="21" t="s">
        <v>2885</v>
      </c>
      <c r="C535" s="21" t="s">
        <v>2886</v>
      </c>
      <c r="D535" s="21" t="s">
        <v>621</v>
      </c>
      <c r="E535" s="21" t="s">
        <v>621</v>
      </c>
      <c r="F535" s="21" t="s">
        <v>621</v>
      </c>
      <c r="G535" s="21" t="s">
        <v>621</v>
      </c>
      <c r="H535" s="21" t="s">
        <v>621</v>
      </c>
      <c r="I535" s="21" t="s">
        <v>621</v>
      </c>
      <c r="J535" s="21" t="s">
        <v>621</v>
      </c>
      <c r="K535" s="21" t="s">
        <v>621</v>
      </c>
    </row>
    <row r="536" spans="1:11" x14ac:dyDescent="0.25">
      <c r="A536" s="20" t="s">
        <v>3643</v>
      </c>
      <c r="B536" s="21" t="s">
        <v>2916</v>
      </c>
      <c r="C536" s="21" t="s">
        <v>621</v>
      </c>
      <c r="D536" s="21" t="s">
        <v>621</v>
      </c>
      <c r="E536" s="21" t="s">
        <v>621</v>
      </c>
      <c r="F536" s="21" t="s">
        <v>621</v>
      </c>
      <c r="G536" s="21" t="s">
        <v>621</v>
      </c>
      <c r="H536" s="21" t="s">
        <v>621</v>
      </c>
      <c r="I536" s="21" t="s">
        <v>621</v>
      </c>
      <c r="J536" s="21" t="s">
        <v>621</v>
      </c>
      <c r="K536" s="21" t="s">
        <v>621</v>
      </c>
    </row>
    <row r="537" spans="1:11" x14ac:dyDescent="0.25">
      <c r="A537" s="20" t="s">
        <v>3644</v>
      </c>
      <c r="B537" s="21" t="s">
        <v>2912</v>
      </c>
      <c r="C537" s="21" t="s">
        <v>3645</v>
      </c>
      <c r="D537" s="21" t="s">
        <v>621</v>
      </c>
      <c r="E537" s="21" t="s">
        <v>621</v>
      </c>
      <c r="F537" s="21" t="s">
        <v>621</v>
      </c>
      <c r="G537" s="21" t="s">
        <v>621</v>
      </c>
      <c r="H537" s="21" t="s">
        <v>621</v>
      </c>
      <c r="I537" s="21" t="s">
        <v>621</v>
      </c>
      <c r="J537" s="21" t="s">
        <v>621</v>
      </c>
      <c r="K537" s="21" t="s">
        <v>621</v>
      </c>
    </row>
    <row r="538" spans="1:11" x14ac:dyDescent="0.25">
      <c r="A538" s="20" t="s">
        <v>3646</v>
      </c>
      <c r="B538" s="21" t="s">
        <v>3645</v>
      </c>
      <c r="C538" s="21" t="s">
        <v>621</v>
      </c>
      <c r="D538" s="21" t="s">
        <v>621</v>
      </c>
      <c r="E538" s="21" t="s">
        <v>621</v>
      </c>
      <c r="F538" s="21" t="s">
        <v>621</v>
      </c>
      <c r="G538" s="21" t="s">
        <v>621</v>
      </c>
      <c r="H538" s="21" t="s">
        <v>621</v>
      </c>
      <c r="I538" s="21" t="s">
        <v>621</v>
      </c>
      <c r="J538" s="21" t="s">
        <v>621</v>
      </c>
      <c r="K538" s="21" t="s">
        <v>621</v>
      </c>
    </row>
    <row r="539" spans="1:11" x14ac:dyDescent="0.25">
      <c r="A539" s="20" t="s">
        <v>3647</v>
      </c>
      <c r="B539" s="21" t="s">
        <v>3645</v>
      </c>
      <c r="C539" s="21" t="s">
        <v>621</v>
      </c>
      <c r="D539" s="21" t="s">
        <v>621</v>
      </c>
      <c r="E539" s="21" t="s">
        <v>621</v>
      </c>
      <c r="F539" s="21" t="s">
        <v>621</v>
      </c>
      <c r="G539" s="21" t="s">
        <v>621</v>
      </c>
      <c r="H539" s="21" t="s">
        <v>621</v>
      </c>
      <c r="I539" s="21" t="s">
        <v>621</v>
      </c>
      <c r="J539" s="21" t="s">
        <v>621</v>
      </c>
      <c r="K539" s="21" t="s">
        <v>621</v>
      </c>
    </row>
    <row r="540" spans="1:11" x14ac:dyDescent="0.25">
      <c r="A540" s="20" t="s">
        <v>3648</v>
      </c>
      <c r="B540" s="21" t="s">
        <v>3645</v>
      </c>
      <c r="C540" s="21" t="s">
        <v>621</v>
      </c>
      <c r="D540" s="21" t="s">
        <v>621</v>
      </c>
      <c r="E540" s="21" t="s">
        <v>621</v>
      </c>
      <c r="F540" s="21" t="s">
        <v>621</v>
      </c>
      <c r="G540" s="21" t="s">
        <v>621</v>
      </c>
      <c r="H540" s="21" t="s">
        <v>621</v>
      </c>
      <c r="I540" s="21" t="s">
        <v>621</v>
      </c>
      <c r="J540" s="21" t="s">
        <v>621</v>
      </c>
      <c r="K540" s="21" t="s">
        <v>621</v>
      </c>
    </row>
    <row r="541" spans="1:11" x14ac:dyDescent="0.25">
      <c r="A541" s="20" t="s">
        <v>3649</v>
      </c>
      <c r="B541" s="21" t="s">
        <v>3650</v>
      </c>
      <c r="C541" s="21" t="s">
        <v>621</v>
      </c>
      <c r="D541" s="21" t="s">
        <v>621</v>
      </c>
      <c r="E541" s="21" t="s">
        <v>621</v>
      </c>
      <c r="F541" s="21" t="s">
        <v>621</v>
      </c>
      <c r="G541" s="21" t="s">
        <v>621</v>
      </c>
      <c r="H541" s="21" t="s">
        <v>621</v>
      </c>
      <c r="I541" s="21" t="s">
        <v>621</v>
      </c>
      <c r="J541" s="21" t="s">
        <v>621</v>
      </c>
      <c r="K541" s="21" t="s">
        <v>621</v>
      </c>
    </row>
    <row r="542" spans="1:11" x14ac:dyDescent="0.25">
      <c r="A542" s="20" t="s">
        <v>2675</v>
      </c>
      <c r="B542" s="21" t="s">
        <v>2472</v>
      </c>
      <c r="C542" s="21" t="s">
        <v>2471</v>
      </c>
      <c r="D542" s="21" t="s">
        <v>3651</v>
      </c>
      <c r="E542" s="21" t="s">
        <v>621</v>
      </c>
      <c r="F542" s="21" t="s">
        <v>621</v>
      </c>
      <c r="G542" s="21" t="s">
        <v>621</v>
      </c>
      <c r="H542" s="21" t="s">
        <v>621</v>
      </c>
      <c r="I542" s="21" t="s">
        <v>621</v>
      </c>
      <c r="J542" s="21" t="s">
        <v>621</v>
      </c>
      <c r="K542" s="21" t="s">
        <v>621</v>
      </c>
    </row>
    <row r="543" spans="1:11" x14ac:dyDescent="0.25">
      <c r="A543" s="20" t="s">
        <v>3652</v>
      </c>
      <c r="B543" s="21" t="s">
        <v>2912</v>
      </c>
      <c r="C543" s="21" t="s">
        <v>2913</v>
      </c>
      <c r="D543" s="21" t="s">
        <v>621</v>
      </c>
      <c r="E543" s="21" t="s">
        <v>621</v>
      </c>
      <c r="F543" s="21" t="s">
        <v>621</v>
      </c>
      <c r="G543" s="21" t="s">
        <v>621</v>
      </c>
      <c r="H543" s="21" t="s">
        <v>621</v>
      </c>
      <c r="I543" s="21" t="s">
        <v>621</v>
      </c>
      <c r="J543" s="21" t="s">
        <v>621</v>
      </c>
      <c r="K543" s="21" t="s">
        <v>621</v>
      </c>
    </row>
    <row r="544" spans="1:11" x14ac:dyDescent="0.25">
      <c r="A544" s="20" t="s">
        <v>3653</v>
      </c>
      <c r="B544" s="21" t="s">
        <v>2885</v>
      </c>
      <c r="C544" s="21" t="s">
        <v>2886</v>
      </c>
      <c r="D544" s="21" t="s">
        <v>621</v>
      </c>
      <c r="E544" s="21" t="s">
        <v>621</v>
      </c>
      <c r="F544" s="21" t="s">
        <v>621</v>
      </c>
      <c r="G544" s="21" t="s">
        <v>621</v>
      </c>
      <c r="H544" s="21" t="s">
        <v>621</v>
      </c>
      <c r="I544" s="21" t="s">
        <v>621</v>
      </c>
      <c r="J544" s="21" t="s">
        <v>621</v>
      </c>
      <c r="K544" s="21" t="s">
        <v>621</v>
      </c>
    </row>
    <row r="545" spans="1:11" x14ac:dyDescent="0.25">
      <c r="A545" s="20" t="s">
        <v>3654</v>
      </c>
      <c r="B545" s="21" t="s">
        <v>2915</v>
      </c>
      <c r="C545" s="21" t="s">
        <v>2916</v>
      </c>
      <c r="D545" s="21" t="s">
        <v>621</v>
      </c>
      <c r="E545" s="21" t="s">
        <v>621</v>
      </c>
      <c r="F545" s="21" t="s">
        <v>621</v>
      </c>
      <c r="G545" s="21" t="s">
        <v>621</v>
      </c>
      <c r="H545" s="21" t="s">
        <v>621</v>
      </c>
      <c r="I545" s="21" t="s">
        <v>621</v>
      </c>
      <c r="J545" s="21" t="s">
        <v>621</v>
      </c>
      <c r="K545" s="21" t="s">
        <v>621</v>
      </c>
    </row>
    <row r="546" spans="1:11" x14ac:dyDescent="0.25">
      <c r="A546" s="20" t="s">
        <v>2676</v>
      </c>
      <c r="B546" s="21" t="s">
        <v>2677</v>
      </c>
      <c r="C546" s="21" t="s">
        <v>2912</v>
      </c>
      <c r="D546" s="21" t="s">
        <v>621</v>
      </c>
      <c r="E546" s="21" t="s">
        <v>621</v>
      </c>
      <c r="F546" s="21" t="s">
        <v>621</v>
      </c>
      <c r="G546" s="21" t="s">
        <v>621</v>
      </c>
      <c r="H546" s="21" t="s">
        <v>621</v>
      </c>
      <c r="I546" s="21" t="s">
        <v>621</v>
      </c>
      <c r="J546" s="21" t="s">
        <v>621</v>
      </c>
      <c r="K546" s="21" t="s">
        <v>621</v>
      </c>
    </row>
    <row r="547" spans="1:11" x14ac:dyDescent="0.25">
      <c r="A547" s="20" t="s">
        <v>3655</v>
      </c>
      <c r="B547" s="21" t="s">
        <v>3656</v>
      </c>
      <c r="C547" s="21" t="s">
        <v>621</v>
      </c>
      <c r="D547" s="21" t="s">
        <v>621</v>
      </c>
      <c r="E547" s="21" t="s">
        <v>621</v>
      </c>
      <c r="F547" s="21" t="s">
        <v>621</v>
      </c>
      <c r="G547" s="21" t="s">
        <v>621</v>
      </c>
      <c r="H547" s="21" t="s">
        <v>621</v>
      </c>
      <c r="I547" s="21" t="s">
        <v>621</v>
      </c>
      <c r="J547" s="21" t="s">
        <v>621</v>
      </c>
      <c r="K547" s="21" t="s">
        <v>621</v>
      </c>
    </row>
    <row r="548" spans="1:11" x14ac:dyDescent="0.25">
      <c r="A548" s="20" t="s">
        <v>2678</v>
      </c>
      <c r="B548" s="21" t="s">
        <v>2679</v>
      </c>
      <c r="C548" s="21" t="s">
        <v>3657</v>
      </c>
      <c r="D548" s="21" t="s">
        <v>621</v>
      </c>
      <c r="E548" s="21" t="s">
        <v>621</v>
      </c>
      <c r="F548" s="21" t="s">
        <v>621</v>
      </c>
      <c r="G548" s="21" t="s">
        <v>621</v>
      </c>
      <c r="H548" s="21" t="s">
        <v>621</v>
      </c>
      <c r="I548" s="21" t="s">
        <v>621</v>
      </c>
      <c r="J548" s="21" t="s">
        <v>621</v>
      </c>
      <c r="K548" s="21" t="s">
        <v>621</v>
      </c>
    </row>
    <row r="549" spans="1:11" x14ac:dyDescent="0.25">
      <c r="A549" s="20" t="s">
        <v>3658</v>
      </c>
      <c r="B549" s="21" t="s">
        <v>3659</v>
      </c>
      <c r="C549" s="21" t="s">
        <v>621</v>
      </c>
      <c r="D549" s="21" t="s">
        <v>621</v>
      </c>
      <c r="E549" s="21" t="s">
        <v>621</v>
      </c>
      <c r="F549" s="21" t="s">
        <v>621</v>
      </c>
      <c r="G549" s="21" t="s">
        <v>621</v>
      </c>
      <c r="H549" s="21" t="s">
        <v>621</v>
      </c>
      <c r="I549" s="21" t="s">
        <v>621</v>
      </c>
      <c r="J549" s="21" t="s">
        <v>621</v>
      </c>
      <c r="K549" s="21" t="s">
        <v>621</v>
      </c>
    </row>
    <row r="550" spans="1:11" x14ac:dyDescent="0.25">
      <c r="A550" s="20" t="s">
        <v>3660</v>
      </c>
      <c r="B550" s="21" t="s">
        <v>3659</v>
      </c>
      <c r="C550" s="21" t="s">
        <v>621</v>
      </c>
      <c r="D550" s="21" t="s">
        <v>621</v>
      </c>
      <c r="E550" s="21" t="s">
        <v>621</v>
      </c>
      <c r="F550" s="21" t="s">
        <v>621</v>
      </c>
      <c r="G550" s="21" t="s">
        <v>621</v>
      </c>
      <c r="H550" s="21" t="s">
        <v>621</v>
      </c>
      <c r="I550" s="21" t="s">
        <v>621</v>
      </c>
      <c r="J550" s="21" t="s">
        <v>621</v>
      </c>
      <c r="K550" s="21" t="s">
        <v>621</v>
      </c>
    </row>
    <row r="551" spans="1:11" x14ac:dyDescent="0.25">
      <c r="A551" s="20" t="s">
        <v>3661</v>
      </c>
      <c r="B551" s="21" t="s">
        <v>3662</v>
      </c>
      <c r="C551" s="21" t="s">
        <v>621</v>
      </c>
      <c r="D551" s="21" t="s">
        <v>621</v>
      </c>
      <c r="E551" s="21" t="s">
        <v>621</v>
      </c>
      <c r="F551" s="21" t="s">
        <v>621</v>
      </c>
      <c r="G551" s="21" t="s">
        <v>621</v>
      </c>
      <c r="H551" s="21" t="s">
        <v>621</v>
      </c>
      <c r="I551" s="21" t="s">
        <v>621</v>
      </c>
      <c r="J551" s="21" t="s">
        <v>621</v>
      </c>
      <c r="K551" s="21" t="s">
        <v>621</v>
      </c>
    </row>
    <row r="552" spans="1:11" x14ac:dyDescent="0.25">
      <c r="A552" s="20" t="s">
        <v>3663</v>
      </c>
      <c r="B552" s="21" t="s">
        <v>3664</v>
      </c>
      <c r="C552" s="21" t="s">
        <v>621</v>
      </c>
      <c r="D552" s="21" t="s">
        <v>621</v>
      </c>
      <c r="E552" s="21" t="s">
        <v>621</v>
      </c>
      <c r="F552" s="21" t="s">
        <v>621</v>
      </c>
      <c r="G552" s="21" t="s">
        <v>621</v>
      </c>
      <c r="H552" s="21" t="s">
        <v>621</v>
      </c>
      <c r="I552" s="21" t="s">
        <v>621</v>
      </c>
      <c r="J552" s="21" t="s">
        <v>621</v>
      </c>
      <c r="K552" s="21" t="s">
        <v>621</v>
      </c>
    </row>
    <row r="553" spans="1:11" x14ac:dyDescent="0.25">
      <c r="A553" s="20" t="s">
        <v>3665</v>
      </c>
      <c r="B553" s="21" t="s">
        <v>3666</v>
      </c>
      <c r="C553" s="21" t="s">
        <v>621</v>
      </c>
      <c r="D553" s="21" t="s">
        <v>621</v>
      </c>
      <c r="E553" s="21" t="s">
        <v>621</v>
      </c>
      <c r="F553" s="21" t="s">
        <v>621</v>
      </c>
      <c r="G553" s="21" t="s">
        <v>621</v>
      </c>
      <c r="H553" s="21" t="s">
        <v>621</v>
      </c>
      <c r="I553" s="21" t="s">
        <v>621</v>
      </c>
      <c r="J553" s="21" t="s">
        <v>621</v>
      </c>
      <c r="K553" s="21" t="s">
        <v>621</v>
      </c>
    </row>
    <row r="554" spans="1:11" x14ac:dyDescent="0.25">
      <c r="A554" s="20" t="s">
        <v>2680</v>
      </c>
      <c r="B554" s="21" t="s">
        <v>2480</v>
      </c>
      <c r="C554" s="21" t="s">
        <v>2497</v>
      </c>
      <c r="D554" s="21" t="s">
        <v>3667</v>
      </c>
      <c r="E554" s="21" t="s">
        <v>621</v>
      </c>
      <c r="F554" s="21" t="s">
        <v>621</v>
      </c>
      <c r="G554" s="21" t="s">
        <v>621</v>
      </c>
      <c r="H554" s="21" t="s">
        <v>621</v>
      </c>
      <c r="I554" s="21" t="s">
        <v>621</v>
      </c>
      <c r="J554" s="21" t="s">
        <v>621</v>
      </c>
      <c r="K554" s="21" t="s">
        <v>621</v>
      </c>
    </row>
    <row r="555" spans="1:11" x14ac:dyDescent="0.25">
      <c r="A555" s="20" t="s">
        <v>3668</v>
      </c>
      <c r="B555" s="21" t="s">
        <v>3664</v>
      </c>
      <c r="C555" s="21" t="s">
        <v>621</v>
      </c>
      <c r="D555" s="21" t="s">
        <v>621</v>
      </c>
      <c r="E555" s="21" t="s">
        <v>621</v>
      </c>
      <c r="F555" s="21" t="s">
        <v>621</v>
      </c>
      <c r="G555" s="21" t="s">
        <v>621</v>
      </c>
      <c r="H555" s="21" t="s">
        <v>621</v>
      </c>
      <c r="I555" s="21" t="s">
        <v>621</v>
      </c>
      <c r="J555" s="21" t="s">
        <v>621</v>
      </c>
      <c r="K555" s="21" t="s">
        <v>621</v>
      </c>
    </row>
    <row r="556" spans="1:11" x14ac:dyDescent="0.25">
      <c r="A556" s="20" t="s">
        <v>3669</v>
      </c>
      <c r="B556" s="21" t="s">
        <v>3666</v>
      </c>
      <c r="C556" s="21" t="s">
        <v>621</v>
      </c>
      <c r="D556" s="21" t="s">
        <v>621</v>
      </c>
      <c r="E556" s="21" t="s">
        <v>621</v>
      </c>
      <c r="F556" s="21" t="s">
        <v>621</v>
      </c>
      <c r="G556" s="21" t="s">
        <v>621</v>
      </c>
      <c r="H556" s="21" t="s">
        <v>621</v>
      </c>
      <c r="I556" s="21" t="s">
        <v>621</v>
      </c>
      <c r="J556" s="21" t="s">
        <v>621</v>
      </c>
      <c r="K556" s="21" t="s">
        <v>621</v>
      </c>
    </row>
    <row r="557" spans="1:11" x14ac:dyDescent="0.25">
      <c r="A557" s="20" t="s">
        <v>3670</v>
      </c>
      <c r="B557" s="21" t="s">
        <v>3671</v>
      </c>
      <c r="C557" s="21" t="s">
        <v>621</v>
      </c>
      <c r="D557" s="21" t="s">
        <v>621</v>
      </c>
      <c r="E557" s="21" t="s">
        <v>621</v>
      </c>
      <c r="F557" s="21" t="s">
        <v>621</v>
      </c>
      <c r="G557" s="21" t="s">
        <v>621</v>
      </c>
      <c r="H557" s="21" t="s">
        <v>621</v>
      </c>
      <c r="I557" s="21" t="s">
        <v>621</v>
      </c>
      <c r="J557" s="21" t="s">
        <v>621</v>
      </c>
      <c r="K557" s="21" t="s">
        <v>621</v>
      </c>
    </row>
    <row r="558" spans="1:11" x14ac:dyDescent="0.25">
      <c r="A558" s="20" t="s">
        <v>2681</v>
      </c>
      <c r="B558" s="21" t="s">
        <v>2501</v>
      </c>
      <c r="C558" s="21" t="s">
        <v>2499</v>
      </c>
      <c r="D558" s="21" t="s">
        <v>2488</v>
      </c>
      <c r="E558" s="21" t="s">
        <v>2905</v>
      </c>
      <c r="F558" s="21" t="s">
        <v>2907</v>
      </c>
      <c r="G558" s="21" t="s">
        <v>2893</v>
      </c>
      <c r="H558" s="21" t="s">
        <v>621</v>
      </c>
      <c r="I558" s="21" t="s">
        <v>621</v>
      </c>
      <c r="J558" s="21" t="s">
        <v>621</v>
      </c>
      <c r="K558" s="21" t="s">
        <v>621</v>
      </c>
    </row>
    <row r="559" spans="1:11" x14ac:dyDescent="0.25">
      <c r="A559" s="20" t="s">
        <v>2682</v>
      </c>
      <c r="B559" s="21" t="s">
        <v>2504</v>
      </c>
      <c r="C559" s="21" t="s">
        <v>2503</v>
      </c>
      <c r="D559" s="21" t="s">
        <v>2908</v>
      </c>
      <c r="E559" s="21" t="s">
        <v>621</v>
      </c>
      <c r="F559" s="21" t="s">
        <v>621</v>
      </c>
      <c r="G559" s="21" t="s">
        <v>621</v>
      </c>
      <c r="H559" s="21" t="s">
        <v>621</v>
      </c>
      <c r="I559" s="21" t="s">
        <v>621</v>
      </c>
      <c r="J559" s="21" t="s">
        <v>621</v>
      </c>
      <c r="K559" s="21" t="s">
        <v>621</v>
      </c>
    </row>
    <row r="560" spans="1:11" x14ac:dyDescent="0.25">
      <c r="A560" s="20" t="s">
        <v>3672</v>
      </c>
      <c r="B560" s="21" t="s">
        <v>3673</v>
      </c>
      <c r="C560" s="21" t="s">
        <v>621</v>
      </c>
      <c r="D560" s="21" t="s">
        <v>621</v>
      </c>
      <c r="E560" s="21" t="s">
        <v>621</v>
      </c>
      <c r="F560" s="21" t="s">
        <v>621</v>
      </c>
      <c r="G560" s="21" t="s">
        <v>621</v>
      </c>
      <c r="H560" s="21" t="s">
        <v>621</v>
      </c>
      <c r="I560" s="21" t="s">
        <v>621</v>
      </c>
      <c r="J560" s="21" t="s">
        <v>621</v>
      </c>
      <c r="K560" s="21" t="s">
        <v>621</v>
      </c>
    </row>
    <row r="561" spans="1:11" x14ac:dyDescent="0.25">
      <c r="A561" s="20" t="s">
        <v>2683</v>
      </c>
      <c r="B561" s="21" t="s">
        <v>2506</v>
      </c>
      <c r="C561" s="21" t="s">
        <v>2909</v>
      </c>
      <c r="D561" s="21" t="s">
        <v>621</v>
      </c>
      <c r="E561" s="21" t="s">
        <v>621</v>
      </c>
      <c r="F561" s="21" t="s">
        <v>621</v>
      </c>
      <c r="G561" s="21" t="s">
        <v>621</v>
      </c>
      <c r="H561" s="21" t="s">
        <v>621</v>
      </c>
      <c r="I561" s="21" t="s">
        <v>621</v>
      </c>
      <c r="J561" s="21" t="s">
        <v>621</v>
      </c>
      <c r="K561" s="21" t="s">
        <v>621</v>
      </c>
    </row>
    <row r="562" spans="1:11" x14ac:dyDescent="0.25">
      <c r="A562" s="20" t="s">
        <v>3674</v>
      </c>
      <c r="B562" s="21" t="s">
        <v>3675</v>
      </c>
      <c r="C562" s="21" t="s">
        <v>621</v>
      </c>
      <c r="D562" s="21" t="s">
        <v>621</v>
      </c>
      <c r="E562" s="21" t="s">
        <v>621</v>
      </c>
      <c r="F562" s="21" t="s">
        <v>621</v>
      </c>
      <c r="G562" s="21" t="s">
        <v>621</v>
      </c>
      <c r="H562" s="21" t="s">
        <v>621</v>
      </c>
      <c r="I562" s="21" t="s">
        <v>621</v>
      </c>
      <c r="J562" s="21" t="s">
        <v>621</v>
      </c>
      <c r="K562" s="21" t="s">
        <v>621</v>
      </c>
    </row>
    <row r="563" spans="1:11" x14ac:dyDescent="0.25">
      <c r="A563" s="20" t="s">
        <v>3676</v>
      </c>
      <c r="B563" s="21" t="s">
        <v>3677</v>
      </c>
      <c r="C563" s="21" t="s">
        <v>621</v>
      </c>
      <c r="D563" s="21" t="s">
        <v>621</v>
      </c>
      <c r="E563" s="21" t="s">
        <v>621</v>
      </c>
      <c r="F563" s="21" t="s">
        <v>621</v>
      </c>
      <c r="G563" s="21" t="s">
        <v>621</v>
      </c>
      <c r="H563" s="21" t="s">
        <v>621</v>
      </c>
      <c r="I563" s="21" t="s">
        <v>621</v>
      </c>
      <c r="J563" s="21" t="s">
        <v>621</v>
      </c>
      <c r="K563" s="21" t="s">
        <v>621</v>
      </c>
    </row>
    <row r="564" spans="1:11" x14ac:dyDescent="0.25">
      <c r="A564" s="20" t="s">
        <v>3678</v>
      </c>
      <c r="B564" s="21" t="s">
        <v>3679</v>
      </c>
      <c r="C564" s="21" t="s">
        <v>621</v>
      </c>
      <c r="D564" s="21" t="s">
        <v>621</v>
      </c>
      <c r="E564" s="21" t="s">
        <v>621</v>
      </c>
      <c r="F564" s="21" t="s">
        <v>621</v>
      </c>
      <c r="G564" s="21" t="s">
        <v>621</v>
      </c>
      <c r="H564" s="21" t="s">
        <v>621</v>
      </c>
      <c r="I564" s="21" t="s">
        <v>621</v>
      </c>
      <c r="J564" s="21" t="s">
        <v>621</v>
      </c>
      <c r="K564" s="21" t="s">
        <v>621</v>
      </c>
    </row>
    <row r="565" spans="1:11" x14ac:dyDescent="0.25">
      <c r="A565" s="20" t="s">
        <v>3680</v>
      </c>
      <c r="B565" s="21" t="s">
        <v>3178</v>
      </c>
      <c r="C565" s="21" t="s">
        <v>621</v>
      </c>
      <c r="D565" s="21" t="s">
        <v>621</v>
      </c>
      <c r="E565" s="21" t="s">
        <v>621</v>
      </c>
      <c r="F565" s="21" t="s">
        <v>621</v>
      </c>
      <c r="G565" s="21" t="s">
        <v>621</v>
      </c>
      <c r="H565" s="21" t="s">
        <v>621</v>
      </c>
      <c r="I565" s="21" t="s">
        <v>621</v>
      </c>
      <c r="J565" s="21" t="s">
        <v>621</v>
      </c>
      <c r="K565" s="21" t="s">
        <v>621</v>
      </c>
    </row>
    <row r="566" spans="1:11" x14ac:dyDescent="0.25">
      <c r="A566" s="20" t="s">
        <v>3681</v>
      </c>
      <c r="B566" s="21" t="s">
        <v>3178</v>
      </c>
      <c r="C566" s="21" t="s">
        <v>621</v>
      </c>
      <c r="D566" s="21" t="s">
        <v>621</v>
      </c>
      <c r="E566" s="21" t="s">
        <v>621</v>
      </c>
      <c r="F566" s="21" t="s">
        <v>621</v>
      </c>
      <c r="G566" s="21" t="s">
        <v>621</v>
      </c>
      <c r="H566" s="21" t="s">
        <v>621</v>
      </c>
      <c r="I566" s="21" t="s">
        <v>621</v>
      </c>
      <c r="J566" s="21" t="s">
        <v>621</v>
      </c>
      <c r="K566" s="21" t="s">
        <v>621</v>
      </c>
    </row>
    <row r="567" spans="1:11" x14ac:dyDescent="0.25">
      <c r="A567" s="20" t="s">
        <v>3682</v>
      </c>
      <c r="B567" s="21" t="s">
        <v>3181</v>
      </c>
      <c r="C567" s="21" t="s">
        <v>3683</v>
      </c>
      <c r="D567" s="21" t="s">
        <v>621</v>
      </c>
      <c r="E567" s="21" t="s">
        <v>621</v>
      </c>
      <c r="F567" s="21" t="s">
        <v>621</v>
      </c>
      <c r="G567" s="21" t="s">
        <v>621</v>
      </c>
      <c r="H567" s="21" t="s">
        <v>621</v>
      </c>
      <c r="I567" s="21" t="s">
        <v>621</v>
      </c>
      <c r="J567" s="21" t="s">
        <v>621</v>
      </c>
      <c r="K567" s="21" t="s">
        <v>621</v>
      </c>
    </row>
    <row r="568" spans="1:11" x14ac:dyDescent="0.25">
      <c r="A568" s="20" t="s">
        <v>3684</v>
      </c>
      <c r="B568" s="21" t="s">
        <v>3685</v>
      </c>
      <c r="C568" s="21" t="s">
        <v>621</v>
      </c>
      <c r="D568" s="21" t="s">
        <v>621</v>
      </c>
      <c r="E568" s="21" t="s">
        <v>621</v>
      </c>
      <c r="F568" s="21" t="s">
        <v>621</v>
      </c>
      <c r="G568" s="21" t="s">
        <v>621</v>
      </c>
      <c r="H568" s="21" t="s">
        <v>621</v>
      </c>
      <c r="I568" s="21" t="s">
        <v>621</v>
      </c>
      <c r="J568" s="21" t="s">
        <v>621</v>
      </c>
      <c r="K568" s="21" t="s">
        <v>621</v>
      </c>
    </row>
    <row r="569" spans="1:11" x14ac:dyDescent="0.25">
      <c r="A569" s="20" t="s">
        <v>2684</v>
      </c>
      <c r="B569" s="21" t="s">
        <v>2574</v>
      </c>
      <c r="C569" s="21" t="s">
        <v>2462</v>
      </c>
      <c r="D569" s="21" t="s">
        <v>2575</v>
      </c>
      <c r="E569" s="21" t="s">
        <v>3182</v>
      </c>
      <c r="F569" s="21" t="s">
        <v>621</v>
      </c>
      <c r="G569" s="21" t="s">
        <v>621</v>
      </c>
      <c r="H569" s="21" t="s">
        <v>621</v>
      </c>
      <c r="I569" s="21" t="s">
        <v>621</v>
      </c>
      <c r="J569" s="21" t="s">
        <v>621</v>
      </c>
      <c r="K569" s="21" t="s">
        <v>621</v>
      </c>
    </row>
    <row r="570" spans="1:11" x14ac:dyDescent="0.25">
      <c r="A570" s="20" t="s">
        <v>2685</v>
      </c>
      <c r="B570" s="21" t="s">
        <v>2522</v>
      </c>
      <c r="C570" s="21" t="s">
        <v>621</v>
      </c>
      <c r="D570" s="21" t="s">
        <v>621</v>
      </c>
      <c r="E570" s="21" t="s">
        <v>621</v>
      </c>
      <c r="F570" s="21" t="s">
        <v>621</v>
      </c>
      <c r="G570" s="21" t="s">
        <v>621</v>
      </c>
      <c r="H570" s="21" t="s">
        <v>621</v>
      </c>
      <c r="I570" s="21" t="s">
        <v>621</v>
      </c>
      <c r="J570" s="21" t="s">
        <v>621</v>
      </c>
      <c r="K570" s="21" t="s">
        <v>621</v>
      </c>
    </row>
    <row r="571" spans="1:11" x14ac:dyDescent="0.25">
      <c r="A571" s="20" t="s">
        <v>3686</v>
      </c>
      <c r="B571" s="21" t="s">
        <v>3687</v>
      </c>
      <c r="C571" s="21" t="s">
        <v>3688</v>
      </c>
      <c r="D571" s="21" t="s">
        <v>621</v>
      </c>
      <c r="E571" s="21" t="s">
        <v>621</v>
      </c>
      <c r="F571" s="21" t="s">
        <v>621</v>
      </c>
      <c r="G571" s="21" t="s">
        <v>621</v>
      </c>
      <c r="H571" s="21" t="s">
        <v>621</v>
      </c>
      <c r="I571" s="21" t="s">
        <v>621</v>
      </c>
      <c r="J571" s="21" t="s">
        <v>621</v>
      </c>
      <c r="K571" s="21" t="s">
        <v>621</v>
      </c>
    </row>
    <row r="572" spans="1:11" x14ac:dyDescent="0.25">
      <c r="A572" s="20" t="s">
        <v>3689</v>
      </c>
      <c r="B572" s="21" t="s">
        <v>3690</v>
      </c>
      <c r="C572" s="21" t="s">
        <v>3691</v>
      </c>
      <c r="D572" s="21" t="s">
        <v>621</v>
      </c>
      <c r="E572" s="21" t="s">
        <v>621</v>
      </c>
      <c r="F572" s="21" t="s">
        <v>621</v>
      </c>
      <c r="G572" s="21" t="s">
        <v>621</v>
      </c>
      <c r="H572" s="21" t="s">
        <v>621</v>
      </c>
      <c r="I572" s="21" t="s">
        <v>621</v>
      </c>
      <c r="J572" s="21" t="s">
        <v>621</v>
      </c>
      <c r="K572" s="21" t="s">
        <v>621</v>
      </c>
    </row>
    <row r="573" spans="1:11" x14ac:dyDescent="0.25">
      <c r="A573" s="20" t="s">
        <v>3692</v>
      </c>
      <c r="B573" s="21" t="s">
        <v>3693</v>
      </c>
      <c r="C573" s="21" t="s">
        <v>3694</v>
      </c>
      <c r="D573" s="21" t="s">
        <v>621</v>
      </c>
      <c r="E573" s="21" t="s">
        <v>621</v>
      </c>
      <c r="F573" s="21" t="s">
        <v>621</v>
      </c>
      <c r="G573" s="21" t="s">
        <v>621</v>
      </c>
      <c r="H573" s="21" t="s">
        <v>621</v>
      </c>
      <c r="I573" s="21" t="s">
        <v>621</v>
      </c>
      <c r="J573" s="21" t="s">
        <v>621</v>
      </c>
      <c r="K573" s="21" t="s">
        <v>621</v>
      </c>
    </row>
    <row r="574" spans="1:11" x14ac:dyDescent="0.25">
      <c r="A574" s="20" t="s">
        <v>3695</v>
      </c>
      <c r="B574" s="21" t="s">
        <v>3696</v>
      </c>
      <c r="C574" s="21" t="s">
        <v>621</v>
      </c>
      <c r="D574" s="21" t="s">
        <v>621</v>
      </c>
      <c r="E574" s="21" t="s">
        <v>621</v>
      </c>
      <c r="F574" s="21" t="s">
        <v>621</v>
      </c>
      <c r="G574" s="21" t="s">
        <v>621</v>
      </c>
      <c r="H574" s="21" t="s">
        <v>621</v>
      </c>
      <c r="I574" s="21" t="s">
        <v>621</v>
      </c>
      <c r="J574" s="21" t="s">
        <v>621</v>
      </c>
      <c r="K574" s="21" t="s">
        <v>621</v>
      </c>
    </row>
    <row r="575" spans="1:11" x14ac:dyDescent="0.25">
      <c r="A575" s="20" t="s">
        <v>3697</v>
      </c>
      <c r="B575" s="21" t="s">
        <v>3696</v>
      </c>
      <c r="C575" s="21" t="s">
        <v>621</v>
      </c>
      <c r="D575" s="21" t="s">
        <v>621</v>
      </c>
      <c r="E575" s="21" t="s">
        <v>621</v>
      </c>
      <c r="F575" s="21" t="s">
        <v>621</v>
      </c>
      <c r="G575" s="21" t="s">
        <v>621</v>
      </c>
      <c r="H575" s="21" t="s">
        <v>621</v>
      </c>
      <c r="I575" s="21" t="s">
        <v>621</v>
      </c>
      <c r="J575" s="21" t="s">
        <v>621</v>
      </c>
      <c r="K575" s="21" t="s">
        <v>621</v>
      </c>
    </row>
    <row r="576" spans="1:11" x14ac:dyDescent="0.25">
      <c r="A576" s="20" t="s">
        <v>3698</v>
      </c>
      <c r="B576" s="21" t="s">
        <v>3699</v>
      </c>
      <c r="C576" s="21" t="s">
        <v>3700</v>
      </c>
      <c r="D576" s="21" t="s">
        <v>621</v>
      </c>
      <c r="E576" s="21" t="s">
        <v>621</v>
      </c>
      <c r="F576" s="21" t="s">
        <v>621</v>
      </c>
      <c r="G576" s="21" t="s">
        <v>621</v>
      </c>
      <c r="H576" s="21" t="s">
        <v>621</v>
      </c>
      <c r="I576" s="21" t="s">
        <v>621</v>
      </c>
      <c r="J576" s="21" t="s">
        <v>621</v>
      </c>
      <c r="K576" s="21" t="s">
        <v>621</v>
      </c>
    </row>
    <row r="577" spans="1:11" x14ac:dyDescent="0.25">
      <c r="A577" s="20" t="s">
        <v>3701</v>
      </c>
      <c r="B577" s="21" t="s">
        <v>3702</v>
      </c>
      <c r="C577" s="21" t="s">
        <v>621</v>
      </c>
      <c r="D577" s="21" t="s">
        <v>621</v>
      </c>
      <c r="E577" s="21" t="s">
        <v>621</v>
      </c>
      <c r="F577" s="21" t="s">
        <v>621</v>
      </c>
      <c r="G577" s="21" t="s">
        <v>621</v>
      </c>
      <c r="H577" s="21" t="s">
        <v>621</v>
      </c>
      <c r="I577" s="21" t="s">
        <v>621</v>
      </c>
      <c r="J577" s="21" t="s">
        <v>621</v>
      </c>
      <c r="K577" s="21" t="s">
        <v>621</v>
      </c>
    </row>
    <row r="578" spans="1:11" x14ac:dyDescent="0.25">
      <c r="A578" s="20" t="s">
        <v>3703</v>
      </c>
      <c r="B578" s="21" t="s">
        <v>3167</v>
      </c>
      <c r="C578" s="21" t="s">
        <v>3166</v>
      </c>
      <c r="D578" s="21" t="s">
        <v>621</v>
      </c>
      <c r="E578" s="21" t="s">
        <v>621</v>
      </c>
      <c r="F578" s="21" t="s">
        <v>621</v>
      </c>
      <c r="G578" s="21" t="s">
        <v>621</v>
      </c>
      <c r="H578" s="21" t="s">
        <v>621</v>
      </c>
      <c r="I578" s="21" t="s">
        <v>621</v>
      </c>
      <c r="J578" s="21" t="s">
        <v>621</v>
      </c>
      <c r="K578" s="21" t="s">
        <v>621</v>
      </c>
    </row>
    <row r="579" spans="1:11" x14ac:dyDescent="0.25">
      <c r="A579" s="20" t="s">
        <v>3704</v>
      </c>
      <c r="B579" s="21" t="s">
        <v>3705</v>
      </c>
      <c r="C579" s="21" t="s">
        <v>621</v>
      </c>
      <c r="D579" s="21" t="s">
        <v>621</v>
      </c>
      <c r="E579" s="21" t="s">
        <v>621</v>
      </c>
      <c r="F579" s="21" t="s">
        <v>621</v>
      </c>
      <c r="G579" s="21" t="s">
        <v>621</v>
      </c>
      <c r="H579" s="21" t="s">
        <v>621</v>
      </c>
      <c r="I579" s="21" t="s">
        <v>621</v>
      </c>
      <c r="J579" s="21" t="s">
        <v>621</v>
      </c>
      <c r="K579" s="21" t="s">
        <v>621</v>
      </c>
    </row>
    <row r="580" spans="1:11" x14ac:dyDescent="0.25">
      <c r="A580" s="20" t="s">
        <v>3706</v>
      </c>
      <c r="B580" s="21" t="s">
        <v>3705</v>
      </c>
      <c r="C580" s="21" t="s">
        <v>621</v>
      </c>
      <c r="D580" s="21" t="s">
        <v>621</v>
      </c>
      <c r="E580" s="21" t="s">
        <v>621</v>
      </c>
      <c r="F580" s="21" t="s">
        <v>621</v>
      </c>
      <c r="G580" s="21" t="s">
        <v>621</v>
      </c>
      <c r="H580" s="21" t="s">
        <v>621</v>
      </c>
      <c r="I580" s="21" t="s">
        <v>621</v>
      </c>
      <c r="J580" s="21" t="s">
        <v>621</v>
      </c>
      <c r="K580" s="21" t="s">
        <v>621</v>
      </c>
    </row>
    <row r="581" spans="1:11" x14ac:dyDescent="0.25">
      <c r="A581" s="20" t="s">
        <v>3707</v>
      </c>
      <c r="B581" s="21" t="s">
        <v>3708</v>
      </c>
      <c r="C581" s="21" t="s">
        <v>621</v>
      </c>
      <c r="D581" s="21" t="s">
        <v>621</v>
      </c>
      <c r="E581" s="21" t="s">
        <v>621</v>
      </c>
      <c r="F581" s="21" t="s">
        <v>621</v>
      </c>
      <c r="G581" s="21" t="s">
        <v>621</v>
      </c>
      <c r="H581" s="21" t="s">
        <v>621</v>
      </c>
      <c r="I581" s="21" t="s">
        <v>621</v>
      </c>
      <c r="J581" s="21" t="s">
        <v>621</v>
      </c>
      <c r="K581" s="21" t="s">
        <v>621</v>
      </c>
    </row>
    <row r="582" spans="1:11" x14ac:dyDescent="0.25">
      <c r="A582" s="20" t="s">
        <v>3709</v>
      </c>
      <c r="B582" s="21" t="s">
        <v>3708</v>
      </c>
      <c r="C582" s="21" t="s">
        <v>621</v>
      </c>
      <c r="D582" s="21" t="s">
        <v>621</v>
      </c>
      <c r="E582" s="21" t="s">
        <v>621</v>
      </c>
      <c r="F582" s="21" t="s">
        <v>621</v>
      </c>
      <c r="G582" s="21" t="s">
        <v>621</v>
      </c>
      <c r="H582" s="21" t="s">
        <v>621</v>
      </c>
      <c r="I582" s="21" t="s">
        <v>621</v>
      </c>
      <c r="J582" s="21" t="s">
        <v>621</v>
      </c>
      <c r="K582" s="21" t="s">
        <v>621</v>
      </c>
    </row>
    <row r="583" spans="1:11" x14ac:dyDescent="0.25">
      <c r="A583" s="20" t="s">
        <v>3710</v>
      </c>
      <c r="B583" s="21" t="s">
        <v>3711</v>
      </c>
      <c r="C583" s="21" t="s">
        <v>621</v>
      </c>
      <c r="D583" s="21" t="s">
        <v>621</v>
      </c>
      <c r="E583" s="21" t="s">
        <v>621</v>
      </c>
      <c r="F583" s="21" t="s">
        <v>621</v>
      </c>
      <c r="G583" s="21" t="s">
        <v>621</v>
      </c>
      <c r="H583" s="21" t="s">
        <v>621</v>
      </c>
      <c r="I583" s="21" t="s">
        <v>621</v>
      </c>
      <c r="J583" s="21" t="s">
        <v>621</v>
      </c>
      <c r="K583" s="21" t="s">
        <v>621</v>
      </c>
    </row>
    <row r="584" spans="1:11" x14ac:dyDescent="0.25">
      <c r="A584" s="20" t="s">
        <v>2686</v>
      </c>
      <c r="B584" s="21" t="s">
        <v>2687</v>
      </c>
      <c r="C584" s="21" t="s">
        <v>621</v>
      </c>
      <c r="D584" s="21" t="s">
        <v>621</v>
      </c>
      <c r="E584" s="21" t="s">
        <v>621</v>
      </c>
      <c r="F584" s="21" t="s">
        <v>621</v>
      </c>
      <c r="G584" s="21" t="s">
        <v>621</v>
      </c>
      <c r="H584" s="21" t="s">
        <v>621</v>
      </c>
      <c r="I584" s="21" t="s">
        <v>621</v>
      </c>
      <c r="J584" s="21" t="s">
        <v>621</v>
      </c>
      <c r="K584" s="21" t="s">
        <v>621</v>
      </c>
    </row>
    <row r="585" spans="1:11" x14ac:dyDescent="0.25">
      <c r="A585" s="20" t="s">
        <v>3712</v>
      </c>
      <c r="B585" s="21" t="s">
        <v>3167</v>
      </c>
      <c r="C585" s="21" t="s">
        <v>3166</v>
      </c>
      <c r="D585" s="21" t="s">
        <v>621</v>
      </c>
      <c r="E585" s="21" t="s">
        <v>621</v>
      </c>
      <c r="F585" s="21" t="s">
        <v>621</v>
      </c>
      <c r="G585" s="21" t="s">
        <v>621</v>
      </c>
      <c r="H585" s="21" t="s">
        <v>621</v>
      </c>
      <c r="I585" s="21" t="s">
        <v>621</v>
      </c>
      <c r="J585" s="21" t="s">
        <v>621</v>
      </c>
      <c r="K585" s="21" t="s">
        <v>621</v>
      </c>
    </row>
    <row r="586" spans="1:11" x14ac:dyDescent="0.25">
      <c r="A586" s="20" t="s">
        <v>3713</v>
      </c>
      <c r="B586" s="21" t="s">
        <v>3714</v>
      </c>
      <c r="C586" s="21" t="s">
        <v>621</v>
      </c>
      <c r="D586" s="21" t="s">
        <v>621</v>
      </c>
      <c r="E586" s="21" t="s">
        <v>621</v>
      </c>
      <c r="F586" s="21" t="s">
        <v>621</v>
      </c>
      <c r="G586" s="21" t="s">
        <v>621</v>
      </c>
      <c r="H586" s="21" t="s">
        <v>621</v>
      </c>
      <c r="I586" s="21" t="s">
        <v>621</v>
      </c>
      <c r="J586" s="21" t="s">
        <v>621</v>
      </c>
      <c r="K586" s="21" t="s">
        <v>621</v>
      </c>
    </row>
    <row r="587" spans="1:11" x14ac:dyDescent="0.25">
      <c r="A587" s="20" t="s">
        <v>2688</v>
      </c>
      <c r="B587" s="21" t="s">
        <v>2689</v>
      </c>
      <c r="C587" s="21" t="s">
        <v>3699</v>
      </c>
      <c r="D587" s="21" t="s">
        <v>3700</v>
      </c>
      <c r="E587" s="21" t="s">
        <v>621</v>
      </c>
      <c r="F587" s="21" t="s">
        <v>621</v>
      </c>
      <c r="G587" s="21" t="s">
        <v>621</v>
      </c>
      <c r="H587" s="21" t="s">
        <v>621</v>
      </c>
      <c r="I587" s="21" t="s">
        <v>621</v>
      </c>
      <c r="J587" s="21" t="s">
        <v>621</v>
      </c>
      <c r="K587" s="21" t="s">
        <v>621</v>
      </c>
    </row>
    <row r="588" spans="1:11" x14ac:dyDescent="0.25">
      <c r="A588" s="20" t="s">
        <v>3715</v>
      </c>
      <c r="B588" s="21" t="s">
        <v>3716</v>
      </c>
      <c r="C588" s="21" t="s">
        <v>621</v>
      </c>
      <c r="D588" s="21" t="s">
        <v>621</v>
      </c>
      <c r="E588" s="21" t="s">
        <v>621</v>
      </c>
      <c r="F588" s="21" t="s">
        <v>621</v>
      </c>
      <c r="G588" s="21" t="s">
        <v>621</v>
      </c>
      <c r="H588" s="21" t="s">
        <v>621</v>
      </c>
      <c r="I588" s="21" t="s">
        <v>621</v>
      </c>
      <c r="J588" s="21" t="s">
        <v>621</v>
      </c>
      <c r="K588" s="21" t="s">
        <v>621</v>
      </c>
    </row>
    <row r="589" spans="1:11" x14ac:dyDescent="0.25">
      <c r="A589" s="20" t="s">
        <v>3717</v>
      </c>
      <c r="B589" s="21" t="s">
        <v>3716</v>
      </c>
      <c r="C589" s="21" t="s">
        <v>621</v>
      </c>
      <c r="D589" s="21" t="s">
        <v>621</v>
      </c>
      <c r="E589" s="21" t="s">
        <v>621</v>
      </c>
      <c r="F589" s="21" t="s">
        <v>621</v>
      </c>
      <c r="G589" s="21" t="s">
        <v>621</v>
      </c>
      <c r="H589" s="21" t="s">
        <v>621</v>
      </c>
      <c r="I589" s="21" t="s">
        <v>621</v>
      </c>
      <c r="J589" s="21" t="s">
        <v>621</v>
      </c>
      <c r="K589" s="21" t="s">
        <v>621</v>
      </c>
    </row>
    <row r="590" spans="1:11" x14ac:dyDescent="0.25">
      <c r="A590" s="20" t="s">
        <v>3718</v>
      </c>
      <c r="B590" s="21" t="s">
        <v>3719</v>
      </c>
      <c r="C590" s="21" t="s">
        <v>621</v>
      </c>
      <c r="D590" s="21" t="s">
        <v>621</v>
      </c>
      <c r="E590" s="21" t="s">
        <v>621</v>
      </c>
      <c r="F590" s="21" t="s">
        <v>621</v>
      </c>
      <c r="G590" s="21" t="s">
        <v>621</v>
      </c>
      <c r="H590" s="21" t="s">
        <v>621</v>
      </c>
      <c r="I590" s="21" t="s">
        <v>621</v>
      </c>
      <c r="J590" s="21" t="s">
        <v>621</v>
      </c>
      <c r="K590" s="21" t="s">
        <v>621</v>
      </c>
    </row>
    <row r="591" spans="1:11" x14ac:dyDescent="0.25">
      <c r="A591" s="20" t="s">
        <v>2690</v>
      </c>
      <c r="B591" s="21" t="s">
        <v>2687</v>
      </c>
      <c r="C591" s="21" t="s">
        <v>3720</v>
      </c>
      <c r="D591" s="21" t="s">
        <v>621</v>
      </c>
      <c r="E591" s="21" t="s">
        <v>621</v>
      </c>
      <c r="F591" s="21" t="s">
        <v>621</v>
      </c>
      <c r="G591" s="21" t="s">
        <v>621</v>
      </c>
      <c r="H591" s="21" t="s">
        <v>621</v>
      </c>
      <c r="I591" s="21" t="s">
        <v>621</v>
      </c>
      <c r="J591" s="21" t="s">
        <v>621</v>
      </c>
      <c r="K591" s="21" t="s">
        <v>621</v>
      </c>
    </row>
    <row r="592" spans="1:11" x14ac:dyDescent="0.25">
      <c r="A592" s="20" t="s">
        <v>3721</v>
      </c>
      <c r="B592" s="21" t="s">
        <v>3711</v>
      </c>
      <c r="C592" s="21" t="s">
        <v>621</v>
      </c>
      <c r="D592" s="21" t="s">
        <v>621</v>
      </c>
      <c r="E592" s="21" t="s">
        <v>621</v>
      </c>
      <c r="F592" s="21" t="s">
        <v>621</v>
      </c>
      <c r="G592" s="21" t="s">
        <v>621</v>
      </c>
      <c r="H592" s="21" t="s">
        <v>621</v>
      </c>
      <c r="I592" s="21" t="s">
        <v>621</v>
      </c>
      <c r="J592" s="21" t="s">
        <v>621</v>
      </c>
      <c r="K592" s="21" t="s">
        <v>621</v>
      </c>
    </row>
    <row r="593" spans="1:11" x14ac:dyDescent="0.25">
      <c r="A593" s="20" t="s">
        <v>3722</v>
      </c>
      <c r="B593" s="21" t="s">
        <v>3723</v>
      </c>
      <c r="C593" s="21" t="s">
        <v>621</v>
      </c>
      <c r="D593" s="21" t="s">
        <v>621</v>
      </c>
      <c r="E593" s="21" t="s">
        <v>621</v>
      </c>
      <c r="F593" s="21" t="s">
        <v>621</v>
      </c>
      <c r="G593" s="21" t="s">
        <v>621</v>
      </c>
      <c r="H593" s="21" t="s">
        <v>621</v>
      </c>
      <c r="I593" s="21" t="s">
        <v>621</v>
      </c>
      <c r="J593" s="21" t="s">
        <v>621</v>
      </c>
      <c r="K593" s="21" t="s">
        <v>621</v>
      </c>
    </row>
    <row r="594" spans="1:11" x14ac:dyDescent="0.25">
      <c r="A594" s="20" t="s">
        <v>3724</v>
      </c>
      <c r="B594" s="21" t="s">
        <v>3725</v>
      </c>
      <c r="C594" s="21" t="s">
        <v>3726</v>
      </c>
      <c r="D594" s="21" t="s">
        <v>621</v>
      </c>
      <c r="E594" s="21" t="s">
        <v>621</v>
      </c>
      <c r="F594" s="21" t="s">
        <v>621</v>
      </c>
      <c r="G594" s="21" t="s">
        <v>621</v>
      </c>
      <c r="H594" s="21" t="s">
        <v>621</v>
      </c>
      <c r="I594" s="21" t="s">
        <v>621</v>
      </c>
      <c r="J594" s="21" t="s">
        <v>621</v>
      </c>
      <c r="K594" s="21" t="s">
        <v>621</v>
      </c>
    </row>
    <row r="595" spans="1:11" x14ac:dyDescent="0.25">
      <c r="A595" s="20" t="s">
        <v>3727</v>
      </c>
      <c r="B595" s="21" t="s">
        <v>3728</v>
      </c>
      <c r="C595" s="21" t="s">
        <v>3729</v>
      </c>
      <c r="D595" s="21" t="s">
        <v>621</v>
      </c>
      <c r="E595" s="21" t="s">
        <v>621</v>
      </c>
      <c r="F595" s="21" t="s">
        <v>621</v>
      </c>
      <c r="G595" s="21" t="s">
        <v>621</v>
      </c>
      <c r="H595" s="21" t="s">
        <v>621</v>
      </c>
      <c r="I595" s="21" t="s">
        <v>621</v>
      </c>
      <c r="J595" s="21" t="s">
        <v>621</v>
      </c>
      <c r="K595" s="21" t="s">
        <v>621</v>
      </c>
    </row>
    <row r="596" spans="1:11" x14ac:dyDescent="0.25">
      <c r="A596" s="20" t="s">
        <v>3730</v>
      </c>
      <c r="B596" s="21" t="s">
        <v>3731</v>
      </c>
      <c r="C596" s="21" t="s">
        <v>621</v>
      </c>
      <c r="D596" s="21" t="s">
        <v>621</v>
      </c>
      <c r="E596" s="21" t="s">
        <v>621</v>
      </c>
      <c r="F596" s="21" t="s">
        <v>621</v>
      </c>
      <c r="G596" s="21" t="s">
        <v>621</v>
      </c>
      <c r="H596" s="21" t="s">
        <v>621</v>
      </c>
      <c r="I596" s="21" t="s">
        <v>621</v>
      </c>
      <c r="J596" s="21" t="s">
        <v>621</v>
      </c>
      <c r="K596" s="21" t="s">
        <v>621</v>
      </c>
    </row>
    <row r="597" spans="1:11" x14ac:dyDescent="0.25">
      <c r="A597" s="20" t="s">
        <v>3732</v>
      </c>
      <c r="B597" s="21" t="s">
        <v>3733</v>
      </c>
      <c r="C597" s="21" t="s">
        <v>621</v>
      </c>
      <c r="D597" s="21" t="s">
        <v>621</v>
      </c>
      <c r="E597" s="21" t="s">
        <v>621</v>
      </c>
      <c r="F597" s="21" t="s">
        <v>621</v>
      </c>
      <c r="G597" s="21" t="s">
        <v>621</v>
      </c>
      <c r="H597" s="21" t="s">
        <v>621</v>
      </c>
      <c r="I597" s="21" t="s">
        <v>621</v>
      </c>
      <c r="J597" s="21" t="s">
        <v>621</v>
      </c>
      <c r="K597" s="21" t="s">
        <v>621</v>
      </c>
    </row>
    <row r="598" spans="1:11" x14ac:dyDescent="0.25">
      <c r="A598" s="20" t="s">
        <v>3734</v>
      </c>
      <c r="B598" s="21" t="s">
        <v>3735</v>
      </c>
      <c r="C598" s="21" t="s">
        <v>621</v>
      </c>
      <c r="D598" s="21" t="s">
        <v>621</v>
      </c>
      <c r="E598" s="21" t="s">
        <v>621</v>
      </c>
      <c r="F598" s="21" t="s">
        <v>621</v>
      </c>
      <c r="G598" s="21" t="s">
        <v>621</v>
      </c>
      <c r="H598" s="21" t="s">
        <v>621</v>
      </c>
      <c r="I598" s="21" t="s">
        <v>621</v>
      </c>
      <c r="J598" s="21" t="s">
        <v>621</v>
      </c>
      <c r="K598" s="21" t="s">
        <v>621</v>
      </c>
    </row>
    <row r="599" spans="1:11" x14ac:dyDescent="0.25">
      <c r="A599" s="20" t="s">
        <v>3736</v>
      </c>
      <c r="B599" s="21" t="s">
        <v>3725</v>
      </c>
      <c r="C599" s="21" t="s">
        <v>3737</v>
      </c>
      <c r="D599" s="21" t="s">
        <v>3738</v>
      </c>
      <c r="E599" s="21" t="s">
        <v>621</v>
      </c>
      <c r="F599" s="21" t="s">
        <v>621</v>
      </c>
      <c r="G599" s="21" t="s">
        <v>621</v>
      </c>
      <c r="H599" s="21" t="s">
        <v>621</v>
      </c>
      <c r="I599" s="21" t="s">
        <v>621</v>
      </c>
      <c r="J599" s="21" t="s">
        <v>621</v>
      </c>
      <c r="K599" s="21" t="s">
        <v>621</v>
      </c>
    </row>
    <row r="600" spans="1:11" x14ac:dyDescent="0.25">
      <c r="A600" s="20" t="s">
        <v>3739</v>
      </c>
      <c r="B600" s="21" t="s">
        <v>3740</v>
      </c>
      <c r="C600" s="21" t="s">
        <v>621</v>
      </c>
      <c r="D600" s="21" t="s">
        <v>621</v>
      </c>
      <c r="E600" s="21" t="s">
        <v>621</v>
      </c>
      <c r="F600" s="21" t="s">
        <v>621</v>
      </c>
      <c r="G600" s="21" t="s">
        <v>621</v>
      </c>
      <c r="H600" s="21" t="s">
        <v>621</v>
      </c>
      <c r="I600" s="21" t="s">
        <v>621</v>
      </c>
      <c r="J600" s="21" t="s">
        <v>621</v>
      </c>
      <c r="K600" s="21" t="s">
        <v>621</v>
      </c>
    </row>
    <row r="601" spans="1:11" x14ac:dyDescent="0.25">
      <c r="A601" s="20" t="s">
        <v>3741</v>
      </c>
      <c r="B601" s="21" t="s">
        <v>3725</v>
      </c>
      <c r="C601" s="21" t="s">
        <v>3738</v>
      </c>
      <c r="D601" s="21" t="s">
        <v>621</v>
      </c>
      <c r="E601" s="21" t="s">
        <v>621</v>
      </c>
      <c r="F601" s="21" t="s">
        <v>621</v>
      </c>
      <c r="G601" s="21" t="s">
        <v>621</v>
      </c>
      <c r="H601" s="21" t="s">
        <v>621</v>
      </c>
      <c r="I601" s="21" t="s">
        <v>621</v>
      </c>
      <c r="J601" s="21" t="s">
        <v>621</v>
      </c>
      <c r="K601" s="21" t="s">
        <v>621</v>
      </c>
    </row>
    <row r="602" spans="1:11" x14ac:dyDescent="0.25">
      <c r="A602" s="20" t="s">
        <v>3742</v>
      </c>
      <c r="B602" s="21" t="s">
        <v>3737</v>
      </c>
      <c r="C602" s="21" t="s">
        <v>621</v>
      </c>
      <c r="D602" s="21" t="s">
        <v>621</v>
      </c>
      <c r="E602" s="21" t="s">
        <v>621</v>
      </c>
      <c r="F602" s="21" t="s">
        <v>621</v>
      </c>
      <c r="G602" s="21" t="s">
        <v>621</v>
      </c>
      <c r="H602" s="21" t="s">
        <v>621</v>
      </c>
      <c r="I602" s="21" t="s">
        <v>621</v>
      </c>
      <c r="J602" s="21" t="s">
        <v>621</v>
      </c>
      <c r="K602" s="21" t="s">
        <v>621</v>
      </c>
    </row>
    <row r="603" spans="1:11" x14ac:dyDescent="0.25">
      <c r="A603" s="20" t="s">
        <v>3743</v>
      </c>
      <c r="B603" s="21" t="s">
        <v>2990</v>
      </c>
      <c r="C603" s="21" t="s">
        <v>2982</v>
      </c>
      <c r="D603" s="21" t="s">
        <v>2991</v>
      </c>
      <c r="E603" s="21" t="s">
        <v>621</v>
      </c>
      <c r="F603" s="21" t="s">
        <v>621</v>
      </c>
      <c r="G603" s="21" t="s">
        <v>621</v>
      </c>
      <c r="H603" s="21" t="s">
        <v>621</v>
      </c>
      <c r="I603" s="21" t="s">
        <v>621</v>
      </c>
      <c r="J603" s="21" t="s">
        <v>621</v>
      </c>
      <c r="K603" s="21" t="s">
        <v>621</v>
      </c>
    </row>
    <row r="604" spans="1:11" x14ac:dyDescent="0.25">
      <c r="A604" s="20" t="s">
        <v>2691</v>
      </c>
      <c r="B604" s="21" t="s">
        <v>2530</v>
      </c>
      <c r="C604" s="21" t="s">
        <v>2531</v>
      </c>
      <c r="D604" s="21" t="s">
        <v>2987</v>
      </c>
      <c r="E604" s="21" t="s">
        <v>2978</v>
      </c>
      <c r="F604" s="21" t="s">
        <v>2988</v>
      </c>
      <c r="G604" s="21" t="s">
        <v>3744</v>
      </c>
      <c r="H604" s="21" t="s">
        <v>621</v>
      </c>
      <c r="I604" s="21" t="s">
        <v>621</v>
      </c>
      <c r="J604" s="21" t="s">
        <v>621</v>
      </c>
      <c r="K604" s="21" t="s">
        <v>621</v>
      </c>
    </row>
    <row r="605" spans="1:11" x14ac:dyDescent="0.25">
      <c r="A605" s="20" t="s">
        <v>2692</v>
      </c>
      <c r="B605" s="21" t="s">
        <v>2693</v>
      </c>
      <c r="C605" s="21" t="s">
        <v>3745</v>
      </c>
      <c r="D605" s="21" t="s">
        <v>2980</v>
      </c>
      <c r="E605" s="21" t="s">
        <v>3746</v>
      </c>
      <c r="F605" s="21" t="s">
        <v>3747</v>
      </c>
      <c r="G605" s="21" t="s">
        <v>621</v>
      </c>
      <c r="H605" s="21" t="s">
        <v>621</v>
      </c>
      <c r="I605" s="21" t="s">
        <v>621</v>
      </c>
      <c r="J605" s="21" t="s">
        <v>621</v>
      </c>
      <c r="K605" s="21" t="s">
        <v>621</v>
      </c>
    </row>
    <row r="606" spans="1:11" x14ac:dyDescent="0.25">
      <c r="A606" s="20" t="s">
        <v>3748</v>
      </c>
      <c r="B606" s="21" t="s">
        <v>3749</v>
      </c>
      <c r="C606" s="21" t="s">
        <v>621</v>
      </c>
      <c r="D606" s="21" t="s">
        <v>621</v>
      </c>
      <c r="E606" s="21" t="s">
        <v>621</v>
      </c>
      <c r="F606" s="21" t="s">
        <v>621</v>
      </c>
      <c r="G606" s="21" t="s">
        <v>621</v>
      </c>
      <c r="H606" s="21" t="s">
        <v>621</v>
      </c>
      <c r="I606" s="21" t="s">
        <v>621</v>
      </c>
      <c r="J606" s="21" t="s">
        <v>621</v>
      </c>
      <c r="K606" s="21" t="s">
        <v>621</v>
      </c>
    </row>
    <row r="607" spans="1:11" x14ac:dyDescent="0.25">
      <c r="A607" s="20" t="s">
        <v>3750</v>
      </c>
      <c r="B607" s="21" t="s">
        <v>2987</v>
      </c>
      <c r="C607" s="21" t="s">
        <v>3744</v>
      </c>
      <c r="D607" s="21" t="s">
        <v>621</v>
      </c>
      <c r="E607" s="21" t="s">
        <v>621</v>
      </c>
      <c r="F607" s="21" t="s">
        <v>621</v>
      </c>
      <c r="G607" s="21" t="s">
        <v>621</v>
      </c>
      <c r="H607" s="21" t="s">
        <v>621</v>
      </c>
      <c r="I607" s="21" t="s">
        <v>621</v>
      </c>
      <c r="J607" s="21" t="s">
        <v>621</v>
      </c>
      <c r="K607" s="21" t="s">
        <v>621</v>
      </c>
    </row>
    <row r="608" spans="1:11" x14ac:dyDescent="0.25">
      <c r="A608" s="20" t="s">
        <v>3751</v>
      </c>
      <c r="B608" s="21" t="s">
        <v>2987</v>
      </c>
      <c r="C608" s="21" t="s">
        <v>3744</v>
      </c>
      <c r="D608" s="21" t="s">
        <v>621</v>
      </c>
      <c r="E608" s="21" t="s">
        <v>621</v>
      </c>
      <c r="F608" s="21" t="s">
        <v>621</v>
      </c>
      <c r="G608" s="21" t="s">
        <v>621</v>
      </c>
      <c r="H608" s="21" t="s">
        <v>621</v>
      </c>
      <c r="I608" s="21" t="s">
        <v>621</v>
      </c>
      <c r="J608" s="21" t="s">
        <v>621</v>
      </c>
      <c r="K608" s="21" t="s">
        <v>621</v>
      </c>
    </row>
    <row r="609" spans="1:11" x14ac:dyDescent="0.25">
      <c r="A609" s="20" t="s">
        <v>3752</v>
      </c>
      <c r="B609" s="21" t="s">
        <v>3753</v>
      </c>
      <c r="C609" s="21" t="s">
        <v>621</v>
      </c>
      <c r="D609" s="21" t="s">
        <v>621</v>
      </c>
      <c r="E609" s="21" t="s">
        <v>621</v>
      </c>
      <c r="F609" s="21" t="s">
        <v>621</v>
      </c>
      <c r="G609" s="21" t="s">
        <v>621</v>
      </c>
      <c r="H609" s="21" t="s">
        <v>621</v>
      </c>
      <c r="I609" s="21" t="s">
        <v>621</v>
      </c>
      <c r="J609" s="21" t="s">
        <v>621</v>
      </c>
      <c r="K609" s="21" t="s">
        <v>621</v>
      </c>
    </row>
    <row r="610" spans="1:11" x14ac:dyDescent="0.25">
      <c r="A610" s="20" t="s">
        <v>2694</v>
      </c>
      <c r="B610" s="21" t="s">
        <v>2695</v>
      </c>
      <c r="C610" s="21" t="s">
        <v>3754</v>
      </c>
      <c r="D610" s="21" t="s">
        <v>3755</v>
      </c>
      <c r="E610" s="21" t="s">
        <v>3251</v>
      </c>
      <c r="F610" s="21" t="s">
        <v>3755</v>
      </c>
      <c r="G610" s="21" t="s">
        <v>621</v>
      </c>
      <c r="H610" s="21" t="s">
        <v>621</v>
      </c>
      <c r="I610" s="21" t="s">
        <v>621</v>
      </c>
      <c r="J610" s="21" t="s">
        <v>621</v>
      </c>
      <c r="K610" s="21" t="s">
        <v>621</v>
      </c>
    </row>
    <row r="611" spans="1:11" x14ac:dyDescent="0.25">
      <c r="A611" s="20" t="s">
        <v>2696</v>
      </c>
      <c r="B611" s="21" t="s">
        <v>2695</v>
      </c>
      <c r="C611" s="21" t="s">
        <v>3255</v>
      </c>
      <c r="D611" s="21" t="s">
        <v>3256</v>
      </c>
      <c r="E611" s="21" t="s">
        <v>3255</v>
      </c>
      <c r="F611" s="21" t="s">
        <v>3256</v>
      </c>
      <c r="G611" s="21" t="s">
        <v>621</v>
      </c>
      <c r="H611" s="21" t="s">
        <v>621</v>
      </c>
      <c r="I611" s="21" t="s">
        <v>621</v>
      </c>
      <c r="J611" s="21" t="s">
        <v>621</v>
      </c>
      <c r="K611" s="21" t="s">
        <v>621</v>
      </c>
    </row>
    <row r="612" spans="1:11" x14ac:dyDescent="0.25">
      <c r="A612" s="20" t="s">
        <v>3756</v>
      </c>
      <c r="B612" s="21" t="s">
        <v>3757</v>
      </c>
      <c r="C612" s="21" t="s">
        <v>3757</v>
      </c>
      <c r="D612" s="21" t="s">
        <v>621</v>
      </c>
      <c r="E612" s="21" t="s">
        <v>621</v>
      </c>
      <c r="F612" s="21" t="s">
        <v>621</v>
      </c>
      <c r="G612" s="21" t="s">
        <v>621</v>
      </c>
      <c r="H612" s="21" t="s">
        <v>621</v>
      </c>
      <c r="I612" s="21" t="s">
        <v>621</v>
      </c>
      <c r="J612" s="21" t="s">
        <v>621</v>
      </c>
      <c r="K612" s="21" t="s">
        <v>621</v>
      </c>
    </row>
    <row r="613" spans="1:11" x14ac:dyDescent="0.25">
      <c r="A613" s="20" t="s">
        <v>3758</v>
      </c>
      <c r="B613" s="21" t="s">
        <v>3256</v>
      </c>
      <c r="C613" s="21" t="s">
        <v>621</v>
      </c>
      <c r="D613" s="21" t="s">
        <v>621</v>
      </c>
      <c r="E613" s="21" t="s">
        <v>621</v>
      </c>
      <c r="F613" s="21" t="s">
        <v>621</v>
      </c>
      <c r="G613" s="21" t="s">
        <v>621</v>
      </c>
      <c r="H613" s="21" t="s">
        <v>621</v>
      </c>
      <c r="I613" s="21" t="s">
        <v>621</v>
      </c>
      <c r="J613" s="21" t="s">
        <v>621</v>
      </c>
      <c r="K613" s="21" t="s">
        <v>621</v>
      </c>
    </row>
    <row r="614" spans="1:11" x14ac:dyDescent="0.25">
      <c r="A614" s="20" t="s">
        <v>3759</v>
      </c>
      <c r="B614" s="21" t="s">
        <v>3760</v>
      </c>
      <c r="C614" s="21" t="s">
        <v>3760</v>
      </c>
      <c r="D614" s="21" t="s">
        <v>621</v>
      </c>
      <c r="E614" s="21" t="s">
        <v>621</v>
      </c>
      <c r="F614" s="21" t="s">
        <v>621</v>
      </c>
      <c r="G614" s="21" t="s">
        <v>621</v>
      </c>
      <c r="H614" s="21" t="s">
        <v>621</v>
      </c>
      <c r="I614" s="21" t="s">
        <v>621</v>
      </c>
      <c r="J614" s="21" t="s">
        <v>621</v>
      </c>
      <c r="K614" s="21" t="s">
        <v>621</v>
      </c>
    </row>
    <row r="615" spans="1:11" x14ac:dyDescent="0.25">
      <c r="A615" s="20" t="s">
        <v>3761</v>
      </c>
      <c r="B615" s="21" t="s">
        <v>3762</v>
      </c>
      <c r="C615" s="21" t="s">
        <v>621</v>
      </c>
      <c r="D615" s="21" t="s">
        <v>621</v>
      </c>
      <c r="E615" s="21" t="s">
        <v>621</v>
      </c>
      <c r="F615" s="21" t="s">
        <v>621</v>
      </c>
      <c r="G615" s="21" t="s">
        <v>621</v>
      </c>
      <c r="H615" s="21" t="s">
        <v>621</v>
      </c>
      <c r="I615" s="21" t="s">
        <v>621</v>
      </c>
      <c r="J615" s="21" t="s">
        <v>621</v>
      </c>
      <c r="K615" s="21" t="s">
        <v>621</v>
      </c>
    </row>
    <row r="616" spans="1:11" x14ac:dyDescent="0.25">
      <c r="A616" s="20" t="s">
        <v>2697</v>
      </c>
      <c r="B616" s="21" t="s">
        <v>2644</v>
      </c>
      <c r="C616" s="21" t="s">
        <v>621</v>
      </c>
      <c r="D616" s="21" t="s">
        <v>621</v>
      </c>
      <c r="E616" s="21" t="s">
        <v>621</v>
      </c>
      <c r="F616" s="21" t="s">
        <v>621</v>
      </c>
      <c r="G616" s="21" t="s">
        <v>621</v>
      </c>
      <c r="H616" s="21" t="s">
        <v>621</v>
      </c>
      <c r="I616" s="21" t="s">
        <v>621</v>
      </c>
      <c r="J616" s="21" t="s">
        <v>621</v>
      </c>
      <c r="K616" s="21" t="s">
        <v>621</v>
      </c>
    </row>
    <row r="617" spans="1:11" x14ac:dyDescent="0.25">
      <c r="A617" s="20" t="s">
        <v>2698</v>
      </c>
      <c r="B617" s="21" t="s">
        <v>2574</v>
      </c>
      <c r="C617" s="21" t="s">
        <v>2618</v>
      </c>
      <c r="D617" s="21" t="s">
        <v>3763</v>
      </c>
      <c r="E617" s="21" t="s">
        <v>3763</v>
      </c>
      <c r="F617" s="21" t="s">
        <v>621</v>
      </c>
      <c r="G617" s="21" t="s">
        <v>621</v>
      </c>
      <c r="H617" s="21" t="s">
        <v>621</v>
      </c>
      <c r="I617" s="21" t="s">
        <v>621</v>
      </c>
      <c r="J617" s="21" t="s">
        <v>621</v>
      </c>
      <c r="K617" s="21" t="s">
        <v>621</v>
      </c>
    </row>
    <row r="618" spans="1:11" x14ac:dyDescent="0.25">
      <c r="A618" s="20" t="s">
        <v>2699</v>
      </c>
      <c r="B618" s="21" t="s">
        <v>2620</v>
      </c>
      <c r="C618" s="21" t="s">
        <v>2621</v>
      </c>
      <c r="D618" s="21" t="s">
        <v>2622</v>
      </c>
      <c r="E618" s="21" t="s">
        <v>2568</v>
      </c>
      <c r="F618" s="21" t="s">
        <v>2569</v>
      </c>
      <c r="G618" s="21" t="s">
        <v>2623</v>
      </c>
      <c r="H618" s="21" t="s">
        <v>2624</v>
      </c>
      <c r="I618" s="21" t="s">
        <v>3764</v>
      </c>
      <c r="J618" s="21" t="s">
        <v>3764</v>
      </c>
      <c r="K618" s="21" t="s">
        <v>621</v>
      </c>
    </row>
    <row r="619" spans="1:11" x14ac:dyDescent="0.25">
      <c r="A619" s="20" t="s">
        <v>2700</v>
      </c>
      <c r="B619" s="21" t="s">
        <v>2701</v>
      </c>
      <c r="C619" s="21" t="s">
        <v>3765</v>
      </c>
      <c r="D619" s="21" t="s">
        <v>621</v>
      </c>
      <c r="E619" s="21" t="s">
        <v>621</v>
      </c>
      <c r="F619" s="21" t="s">
        <v>621</v>
      </c>
      <c r="G619" s="21" t="s">
        <v>621</v>
      </c>
      <c r="H619" s="21" t="s">
        <v>621</v>
      </c>
      <c r="I619" s="21" t="s">
        <v>621</v>
      </c>
      <c r="J619" s="21" t="s">
        <v>621</v>
      </c>
      <c r="K619" s="21" t="s">
        <v>621</v>
      </c>
    </row>
    <row r="620" spans="1:11" x14ac:dyDescent="0.25">
      <c r="A620" s="20" t="s">
        <v>3766</v>
      </c>
      <c r="B620" s="21" t="s">
        <v>3767</v>
      </c>
      <c r="C620" s="21" t="s">
        <v>621</v>
      </c>
      <c r="D620" s="21" t="s">
        <v>621</v>
      </c>
      <c r="E620" s="21" t="s">
        <v>621</v>
      </c>
      <c r="F620" s="21" t="s">
        <v>621</v>
      </c>
      <c r="G620" s="21" t="s">
        <v>621</v>
      </c>
      <c r="H620" s="21" t="s">
        <v>621</v>
      </c>
      <c r="I620" s="21" t="s">
        <v>621</v>
      </c>
      <c r="J620" s="21" t="s">
        <v>621</v>
      </c>
      <c r="K620" s="21" t="s">
        <v>621</v>
      </c>
    </row>
    <row r="621" spans="1:11" x14ac:dyDescent="0.25">
      <c r="A621" s="20" t="s">
        <v>2702</v>
      </c>
      <c r="B621" s="21" t="s">
        <v>2616</v>
      </c>
      <c r="C621" s="21" t="s">
        <v>3768</v>
      </c>
      <c r="D621" s="21" t="s">
        <v>621</v>
      </c>
      <c r="E621" s="21" t="s">
        <v>621</v>
      </c>
      <c r="F621" s="21" t="s">
        <v>621</v>
      </c>
      <c r="G621" s="21" t="s">
        <v>621</v>
      </c>
      <c r="H621" s="21" t="s">
        <v>621</v>
      </c>
      <c r="I621" s="21" t="s">
        <v>621</v>
      </c>
      <c r="J621" s="21" t="s">
        <v>621</v>
      </c>
      <c r="K621" s="21" t="s">
        <v>621</v>
      </c>
    </row>
    <row r="622" spans="1:11" x14ac:dyDescent="0.25">
      <c r="A622" s="20" t="s">
        <v>3769</v>
      </c>
      <c r="B622" s="21" t="s">
        <v>3765</v>
      </c>
      <c r="C622" s="21" t="s">
        <v>621</v>
      </c>
      <c r="D622" s="21" t="s">
        <v>621</v>
      </c>
      <c r="E622" s="21" t="s">
        <v>621</v>
      </c>
      <c r="F622" s="21" t="s">
        <v>621</v>
      </c>
      <c r="G622" s="21" t="s">
        <v>621</v>
      </c>
      <c r="H622" s="21" t="s">
        <v>621</v>
      </c>
      <c r="I622" s="21" t="s">
        <v>621</v>
      </c>
      <c r="J622" s="21" t="s">
        <v>621</v>
      </c>
      <c r="K622" s="21" t="s">
        <v>621</v>
      </c>
    </row>
    <row r="623" spans="1:11" x14ac:dyDescent="0.25">
      <c r="A623" s="20" t="s">
        <v>3770</v>
      </c>
      <c r="B623" s="21" t="s">
        <v>3771</v>
      </c>
      <c r="C623" s="21" t="s">
        <v>621</v>
      </c>
      <c r="D623" s="21" t="s">
        <v>621</v>
      </c>
      <c r="E623" s="21" t="s">
        <v>621</v>
      </c>
      <c r="F623" s="21" t="s">
        <v>621</v>
      </c>
      <c r="G623" s="21" t="s">
        <v>621</v>
      </c>
      <c r="H623" s="21" t="s">
        <v>621</v>
      </c>
      <c r="I623" s="21" t="s">
        <v>621</v>
      </c>
      <c r="J623" s="21" t="s">
        <v>621</v>
      </c>
      <c r="K623" s="21" t="s">
        <v>621</v>
      </c>
    </row>
    <row r="624" spans="1:11" x14ac:dyDescent="0.25">
      <c r="A624" s="20" t="s">
        <v>3772</v>
      </c>
      <c r="B624" s="21" t="s">
        <v>3768</v>
      </c>
      <c r="C624" s="21" t="s">
        <v>621</v>
      </c>
      <c r="D624" s="21" t="s">
        <v>621</v>
      </c>
      <c r="E624" s="21" t="s">
        <v>621</v>
      </c>
      <c r="F624" s="21" t="s">
        <v>621</v>
      </c>
      <c r="G624" s="21" t="s">
        <v>621</v>
      </c>
      <c r="H624" s="21" t="s">
        <v>621</v>
      </c>
      <c r="I624" s="21" t="s">
        <v>621</v>
      </c>
      <c r="J624" s="21" t="s">
        <v>621</v>
      </c>
      <c r="K624" s="21" t="s">
        <v>621</v>
      </c>
    </row>
    <row r="625" spans="1:11" x14ac:dyDescent="0.25">
      <c r="A625" s="20" t="s">
        <v>3773</v>
      </c>
      <c r="B625" s="21" t="s">
        <v>3765</v>
      </c>
      <c r="C625" s="21" t="s">
        <v>621</v>
      </c>
      <c r="D625" s="21" t="s">
        <v>621</v>
      </c>
      <c r="E625" s="21" t="s">
        <v>621</v>
      </c>
      <c r="F625" s="21" t="s">
        <v>621</v>
      </c>
      <c r="G625" s="21" t="s">
        <v>621</v>
      </c>
      <c r="H625" s="21" t="s">
        <v>621</v>
      </c>
      <c r="I625" s="21" t="s">
        <v>621</v>
      </c>
      <c r="J625" s="21" t="s">
        <v>621</v>
      </c>
      <c r="K625" s="21" t="s">
        <v>621</v>
      </c>
    </row>
    <row r="626" spans="1:11" x14ac:dyDescent="0.25">
      <c r="A626" s="20" t="s">
        <v>2703</v>
      </c>
      <c r="B626" s="21" t="s">
        <v>2449</v>
      </c>
      <c r="C626" s="21" t="s">
        <v>2533</v>
      </c>
      <c r="D626" s="21" t="s">
        <v>2451</v>
      </c>
      <c r="E626" s="21" t="s">
        <v>2534</v>
      </c>
      <c r="F626" s="21" t="s">
        <v>3774</v>
      </c>
      <c r="G626" s="21" t="s">
        <v>3775</v>
      </c>
      <c r="H626" s="21" t="s">
        <v>3620</v>
      </c>
      <c r="I626" s="21" t="s">
        <v>3621</v>
      </c>
      <c r="J626" s="21" t="s">
        <v>3776</v>
      </c>
      <c r="K626" s="21" t="s">
        <v>3003</v>
      </c>
    </row>
    <row r="627" spans="1:11" x14ac:dyDescent="0.25">
      <c r="A627" s="20" t="s">
        <v>3777</v>
      </c>
      <c r="B627" s="21" t="s">
        <v>3778</v>
      </c>
      <c r="C627" s="21" t="s">
        <v>3779</v>
      </c>
      <c r="D627" s="21" t="s">
        <v>3780</v>
      </c>
      <c r="E627" s="21" t="s">
        <v>3624</v>
      </c>
      <c r="F627" s="21" t="s">
        <v>3625</v>
      </c>
      <c r="G627" s="21" t="s">
        <v>3781</v>
      </c>
      <c r="H627" s="21" t="s">
        <v>3006</v>
      </c>
      <c r="I627" s="21" t="s">
        <v>621</v>
      </c>
      <c r="J627" s="21" t="s">
        <v>621</v>
      </c>
      <c r="K627" s="21" t="s">
        <v>621</v>
      </c>
    </row>
    <row r="628" spans="1:11" x14ac:dyDescent="0.25">
      <c r="A628" s="20" t="s">
        <v>2704</v>
      </c>
      <c r="B628" s="21" t="s">
        <v>2671</v>
      </c>
      <c r="C628" s="21" t="s">
        <v>2522</v>
      </c>
      <c r="D628" s="21" t="s">
        <v>3782</v>
      </c>
      <c r="E628" s="21" t="s">
        <v>3783</v>
      </c>
      <c r="F628" s="21" t="s">
        <v>3626</v>
      </c>
      <c r="G628" s="21" t="s">
        <v>3627</v>
      </c>
      <c r="H628" s="21" t="s">
        <v>3784</v>
      </c>
      <c r="I628" s="21" t="s">
        <v>3785</v>
      </c>
      <c r="J628" s="21" t="s">
        <v>621</v>
      </c>
      <c r="K628" s="21" t="s">
        <v>621</v>
      </c>
    </row>
    <row r="629" spans="1:11" x14ac:dyDescent="0.25">
      <c r="A629" s="20" t="s">
        <v>3786</v>
      </c>
      <c r="B629" s="21" t="s">
        <v>3787</v>
      </c>
      <c r="C629" s="21" t="s">
        <v>3788</v>
      </c>
      <c r="D629" s="21" t="s">
        <v>3789</v>
      </c>
      <c r="E629" s="21" t="s">
        <v>621</v>
      </c>
      <c r="F629" s="21" t="s">
        <v>621</v>
      </c>
      <c r="G629" s="21" t="s">
        <v>621</v>
      </c>
      <c r="H629" s="21" t="s">
        <v>621</v>
      </c>
      <c r="I629" s="21" t="s">
        <v>621</v>
      </c>
      <c r="J629" s="21" t="s">
        <v>621</v>
      </c>
      <c r="K629" s="21" t="s">
        <v>621</v>
      </c>
    </row>
    <row r="630" spans="1:11" x14ac:dyDescent="0.25">
      <c r="A630" s="20" t="s">
        <v>3790</v>
      </c>
      <c r="B630" s="21" t="s">
        <v>3791</v>
      </c>
      <c r="C630" s="21" t="s">
        <v>3792</v>
      </c>
      <c r="D630" s="21" t="s">
        <v>3793</v>
      </c>
      <c r="E630" s="21" t="s">
        <v>621</v>
      </c>
      <c r="F630" s="21" t="s">
        <v>621</v>
      </c>
      <c r="G630" s="21" t="s">
        <v>621</v>
      </c>
      <c r="H630" s="21" t="s">
        <v>621</v>
      </c>
      <c r="I630" s="21" t="s">
        <v>621</v>
      </c>
      <c r="J630" s="21" t="s">
        <v>621</v>
      </c>
      <c r="K630" s="21" t="s">
        <v>621</v>
      </c>
    </row>
    <row r="631" spans="1:11" x14ac:dyDescent="0.25">
      <c r="A631" s="20" t="s">
        <v>3794</v>
      </c>
      <c r="B631" s="21" t="s">
        <v>3795</v>
      </c>
      <c r="C631" s="21" t="s">
        <v>3796</v>
      </c>
      <c r="D631" s="21" t="s">
        <v>621</v>
      </c>
      <c r="E631" s="21" t="s">
        <v>621</v>
      </c>
      <c r="F631" s="21" t="s">
        <v>621</v>
      </c>
      <c r="G631" s="21" t="s">
        <v>621</v>
      </c>
      <c r="H631" s="21" t="s">
        <v>621</v>
      </c>
      <c r="I631" s="21" t="s">
        <v>621</v>
      </c>
      <c r="J631" s="21" t="s">
        <v>621</v>
      </c>
      <c r="K631" s="21" t="s">
        <v>621</v>
      </c>
    </row>
    <row r="632" spans="1:11" x14ac:dyDescent="0.25">
      <c r="A632" s="20" t="s">
        <v>3797</v>
      </c>
      <c r="B632" s="21" t="s">
        <v>3787</v>
      </c>
      <c r="C632" s="21" t="s">
        <v>3788</v>
      </c>
      <c r="D632" s="21" t="s">
        <v>3789</v>
      </c>
      <c r="E632" s="21" t="s">
        <v>621</v>
      </c>
      <c r="F632" s="21" t="s">
        <v>621</v>
      </c>
      <c r="G632" s="21" t="s">
        <v>621</v>
      </c>
      <c r="H632" s="21" t="s">
        <v>621</v>
      </c>
      <c r="I632" s="21" t="s">
        <v>621</v>
      </c>
      <c r="J632" s="21" t="s">
        <v>621</v>
      </c>
      <c r="K632" s="21" t="s">
        <v>621</v>
      </c>
    </row>
    <row r="633" spans="1:11" x14ac:dyDescent="0.25">
      <c r="A633" s="20" t="s">
        <v>2705</v>
      </c>
      <c r="B633" s="21" t="s">
        <v>2673</v>
      </c>
      <c r="C633" s="21" t="s">
        <v>2462</v>
      </c>
      <c r="D633" s="21" t="s">
        <v>621</v>
      </c>
      <c r="E633" s="21" t="s">
        <v>621</v>
      </c>
      <c r="F633" s="21" t="s">
        <v>621</v>
      </c>
      <c r="G633" s="21" t="s">
        <v>621</v>
      </c>
      <c r="H633" s="21" t="s">
        <v>621</v>
      </c>
      <c r="I633" s="21" t="s">
        <v>621</v>
      </c>
      <c r="J633" s="21" t="s">
        <v>621</v>
      </c>
      <c r="K633" s="21" t="s">
        <v>621</v>
      </c>
    </row>
    <row r="634" spans="1:11" x14ac:dyDescent="0.25">
      <c r="A634" s="20" t="s">
        <v>2706</v>
      </c>
      <c r="B634" s="21" t="s">
        <v>2501</v>
      </c>
      <c r="C634" s="21" t="s">
        <v>2499</v>
      </c>
      <c r="D634" s="21" t="s">
        <v>2488</v>
      </c>
      <c r="E634" s="21" t="s">
        <v>2905</v>
      </c>
      <c r="F634" s="21" t="s">
        <v>2907</v>
      </c>
      <c r="G634" s="21" t="s">
        <v>2893</v>
      </c>
      <c r="H634" s="21" t="s">
        <v>621</v>
      </c>
      <c r="I634" s="21" t="s">
        <v>621</v>
      </c>
      <c r="J634" s="21" t="s">
        <v>621</v>
      </c>
      <c r="K634" s="21" t="s">
        <v>621</v>
      </c>
    </row>
    <row r="635" spans="1:11" x14ac:dyDescent="0.25">
      <c r="A635" s="20" t="s">
        <v>2707</v>
      </c>
      <c r="B635" s="21" t="s">
        <v>2504</v>
      </c>
      <c r="C635" s="21" t="s">
        <v>2503</v>
      </c>
      <c r="D635" s="21" t="s">
        <v>2908</v>
      </c>
      <c r="E635" s="21" t="s">
        <v>621</v>
      </c>
      <c r="F635" s="21" t="s">
        <v>621</v>
      </c>
      <c r="G635" s="21" t="s">
        <v>621</v>
      </c>
      <c r="H635" s="21" t="s">
        <v>621</v>
      </c>
      <c r="I635" s="21" t="s">
        <v>621</v>
      </c>
      <c r="J635" s="21" t="s">
        <v>621</v>
      </c>
      <c r="K635" s="21" t="s">
        <v>621</v>
      </c>
    </row>
    <row r="636" spans="1:11" x14ac:dyDescent="0.25">
      <c r="A636" s="20" t="s">
        <v>3798</v>
      </c>
      <c r="B636" s="21" t="s">
        <v>2909</v>
      </c>
      <c r="C636" s="21" t="s">
        <v>621</v>
      </c>
      <c r="D636" s="21" t="s">
        <v>621</v>
      </c>
      <c r="E636" s="21" t="s">
        <v>621</v>
      </c>
      <c r="F636" s="21" t="s">
        <v>621</v>
      </c>
      <c r="G636" s="21" t="s">
        <v>621</v>
      </c>
      <c r="H636" s="21" t="s">
        <v>621</v>
      </c>
      <c r="I636" s="21" t="s">
        <v>621</v>
      </c>
      <c r="J636" s="21" t="s">
        <v>621</v>
      </c>
      <c r="K636" s="21" t="s">
        <v>621</v>
      </c>
    </row>
    <row r="637" spans="1:11" x14ac:dyDescent="0.25">
      <c r="A637" s="20" t="s">
        <v>3799</v>
      </c>
      <c r="B637" s="21" t="s">
        <v>3800</v>
      </c>
      <c r="C637" s="21" t="s">
        <v>621</v>
      </c>
      <c r="D637" s="21" t="s">
        <v>621</v>
      </c>
      <c r="E637" s="21" t="s">
        <v>621</v>
      </c>
      <c r="F637" s="21" t="s">
        <v>621</v>
      </c>
      <c r="G637" s="21" t="s">
        <v>621</v>
      </c>
      <c r="H637" s="21" t="s">
        <v>621</v>
      </c>
      <c r="I637" s="21" t="s">
        <v>621</v>
      </c>
      <c r="J637" s="21" t="s">
        <v>621</v>
      </c>
      <c r="K637" s="21" t="s">
        <v>621</v>
      </c>
    </row>
    <row r="638" spans="1:11" x14ac:dyDescent="0.25">
      <c r="A638" s="20" t="s">
        <v>3801</v>
      </c>
      <c r="B638" s="21" t="s">
        <v>3673</v>
      </c>
      <c r="C638" s="21" t="s">
        <v>621</v>
      </c>
      <c r="D638" s="21" t="s">
        <v>621</v>
      </c>
      <c r="E638" s="21" t="s">
        <v>621</v>
      </c>
      <c r="F638" s="21" t="s">
        <v>621</v>
      </c>
      <c r="G638" s="21" t="s">
        <v>621</v>
      </c>
      <c r="H638" s="21" t="s">
        <v>621</v>
      </c>
      <c r="I638" s="21" t="s">
        <v>621</v>
      </c>
      <c r="J638" s="21" t="s">
        <v>621</v>
      </c>
      <c r="K638" s="21" t="s">
        <v>621</v>
      </c>
    </row>
    <row r="639" spans="1:11" x14ac:dyDescent="0.25">
      <c r="A639" s="20" t="s">
        <v>2708</v>
      </c>
      <c r="B639" s="21" t="s">
        <v>2709</v>
      </c>
      <c r="C639" s="21" t="s">
        <v>3802</v>
      </c>
      <c r="D639" s="21" t="s">
        <v>621</v>
      </c>
      <c r="E639" s="21" t="s">
        <v>621</v>
      </c>
      <c r="F639" s="21" t="s">
        <v>621</v>
      </c>
      <c r="G639" s="21" t="s">
        <v>621</v>
      </c>
      <c r="H639" s="21" t="s">
        <v>621</v>
      </c>
      <c r="I639" s="21" t="s">
        <v>621</v>
      </c>
      <c r="J639" s="21" t="s">
        <v>621</v>
      </c>
      <c r="K639" s="21" t="s">
        <v>621</v>
      </c>
    </row>
    <row r="640" spans="1:11" x14ac:dyDescent="0.25">
      <c r="A640" s="20" t="s">
        <v>3803</v>
      </c>
      <c r="B640" s="21" t="s">
        <v>3804</v>
      </c>
      <c r="C640" s="21" t="s">
        <v>621</v>
      </c>
      <c r="D640" s="21" t="s">
        <v>621</v>
      </c>
      <c r="E640" s="21" t="s">
        <v>621</v>
      </c>
      <c r="F640" s="21" t="s">
        <v>621</v>
      </c>
      <c r="G640" s="21" t="s">
        <v>621</v>
      </c>
      <c r="H640" s="21" t="s">
        <v>621</v>
      </c>
      <c r="I640" s="21" t="s">
        <v>621</v>
      </c>
      <c r="J640" s="21" t="s">
        <v>621</v>
      </c>
      <c r="K640" s="21" t="s">
        <v>621</v>
      </c>
    </row>
    <row r="641" spans="1:11" x14ac:dyDescent="0.25">
      <c r="A641" s="20" t="s">
        <v>2710</v>
      </c>
      <c r="B641" s="21" t="s">
        <v>2522</v>
      </c>
      <c r="C641" s="21" t="s">
        <v>621</v>
      </c>
      <c r="D641" s="21" t="s">
        <v>621</v>
      </c>
      <c r="E641" s="21" t="s">
        <v>621</v>
      </c>
      <c r="F641" s="21" t="s">
        <v>621</v>
      </c>
      <c r="G641" s="21" t="s">
        <v>621</v>
      </c>
      <c r="H641" s="21" t="s">
        <v>621</v>
      </c>
      <c r="I641" s="21" t="s">
        <v>621</v>
      </c>
      <c r="J641" s="21" t="s">
        <v>621</v>
      </c>
      <c r="K641" s="21" t="s">
        <v>621</v>
      </c>
    </row>
    <row r="642" spans="1:11" x14ac:dyDescent="0.25">
      <c r="A642" s="20" t="s">
        <v>3805</v>
      </c>
      <c r="B642" s="21" t="s">
        <v>3806</v>
      </c>
      <c r="C642" s="21" t="s">
        <v>621</v>
      </c>
      <c r="D642" s="21" t="s">
        <v>621</v>
      </c>
      <c r="E642" s="21" t="s">
        <v>621</v>
      </c>
      <c r="F642" s="21" t="s">
        <v>621</v>
      </c>
      <c r="G642" s="21" t="s">
        <v>621</v>
      </c>
      <c r="H642" s="21" t="s">
        <v>621</v>
      </c>
      <c r="I642" s="21" t="s">
        <v>621</v>
      </c>
      <c r="J642" s="21" t="s">
        <v>621</v>
      </c>
      <c r="K642" s="21" t="s">
        <v>621</v>
      </c>
    </row>
    <row r="643" spans="1:11" x14ac:dyDescent="0.25">
      <c r="A643" s="20" t="s">
        <v>3807</v>
      </c>
      <c r="B643" s="21" t="s">
        <v>3808</v>
      </c>
      <c r="C643" s="21" t="s">
        <v>621</v>
      </c>
      <c r="D643" s="21" t="s">
        <v>621</v>
      </c>
      <c r="E643" s="21" t="s">
        <v>621</v>
      </c>
      <c r="F643" s="21" t="s">
        <v>621</v>
      </c>
      <c r="G643" s="21" t="s">
        <v>621</v>
      </c>
      <c r="H643" s="21" t="s">
        <v>621</v>
      </c>
      <c r="I643" s="21" t="s">
        <v>621</v>
      </c>
      <c r="J643" s="21" t="s">
        <v>621</v>
      </c>
      <c r="K643" s="21" t="s">
        <v>621</v>
      </c>
    </row>
    <row r="644" spans="1:11" x14ac:dyDescent="0.25">
      <c r="A644" s="20" t="s">
        <v>3809</v>
      </c>
      <c r="B644" s="21" t="s">
        <v>3808</v>
      </c>
      <c r="C644" s="21" t="s">
        <v>621</v>
      </c>
      <c r="D644" s="21" t="s">
        <v>621</v>
      </c>
      <c r="E644" s="21" t="s">
        <v>621</v>
      </c>
      <c r="F644" s="21" t="s">
        <v>621</v>
      </c>
      <c r="G644" s="21" t="s">
        <v>621</v>
      </c>
      <c r="H644" s="21" t="s">
        <v>621</v>
      </c>
      <c r="I644" s="21" t="s">
        <v>621</v>
      </c>
      <c r="J644" s="21" t="s">
        <v>621</v>
      </c>
      <c r="K644" s="21" t="s">
        <v>621</v>
      </c>
    </row>
    <row r="645" spans="1:11" x14ac:dyDescent="0.25">
      <c r="A645" s="20" t="s">
        <v>3810</v>
      </c>
      <c r="B645" s="21" t="s">
        <v>3811</v>
      </c>
      <c r="C645" s="21" t="s">
        <v>621</v>
      </c>
      <c r="D645" s="21" t="s">
        <v>621</v>
      </c>
      <c r="E645" s="21" t="s">
        <v>621</v>
      </c>
      <c r="F645" s="21" t="s">
        <v>621</v>
      </c>
      <c r="G645" s="21" t="s">
        <v>621</v>
      </c>
      <c r="H645" s="21" t="s">
        <v>621</v>
      </c>
      <c r="I645" s="21" t="s">
        <v>621</v>
      </c>
      <c r="J645" s="21" t="s">
        <v>621</v>
      </c>
      <c r="K645" s="21" t="s">
        <v>621</v>
      </c>
    </row>
    <row r="646" spans="1:11" x14ac:dyDescent="0.25">
      <c r="A646" s="20" t="s">
        <v>3812</v>
      </c>
      <c r="B646" s="21" t="s">
        <v>3813</v>
      </c>
      <c r="C646" s="21" t="s">
        <v>621</v>
      </c>
      <c r="D646" s="21" t="s">
        <v>621</v>
      </c>
      <c r="E646" s="21" t="s">
        <v>621</v>
      </c>
      <c r="F646" s="21" t="s">
        <v>621</v>
      </c>
      <c r="G646" s="21" t="s">
        <v>621</v>
      </c>
      <c r="H646" s="21" t="s">
        <v>621</v>
      </c>
      <c r="I646" s="21" t="s">
        <v>621</v>
      </c>
      <c r="J646" s="21" t="s">
        <v>621</v>
      </c>
      <c r="K646" s="21" t="s">
        <v>621</v>
      </c>
    </row>
    <row r="647" spans="1:11" x14ac:dyDescent="0.25">
      <c r="A647" s="20" t="s">
        <v>2711</v>
      </c>
      <c r="B647" s="21" t="s">
        <v>2644</v>
      </c>
      <c r="C647" s="21" t="s">
        <v>621</v>
      </c>
      <c r="D647" s="21" t="s">
        <v>621</v>
      </c>
      <c r="E647" s="21" t="s">
        <v>621</v>
      </c>
      <c r="F647" s="21" t="s">
        <v>621</v>
      </c>
      <c r="G647" s="21" t="s">
        <v>621</v>
      </c>
      <c r="H647" s="21" t="s">
        <v>621</v>
      </c>
      <c r="I647" s="21" t="s">
        <v>621</v>
      </c>
      <c r="J647" s="21" t="s">
        <v>621</v>
      </c>
      <c r="K647" s="21" t="s">
        <v>621</v>
      </c>
    </row>
    <row r="648" spans="1:11" x14ac:dyDescent="0.25">
      <c r="A648" s="20" t="s">
        <v>2712</v>
      </c>
      <c r="B648" s="21" t="s">
        <v>2522</v>
      </c>
      <c r="C648" s="21" t="s">
        <v>621</v>
      </c>
      <c r="D648" s="21" t="s">
        <v>621</v>
      </c>
      <c r="E648" s="21" t="s">
        <v>621</v>
      </c>
      <c r="F648" s="21" t="s">
        <v>621</v>
      </c>
      <c r="G648" s="21" t="s">
        <v>621</v>
      </c>
      <c r="H648" s="21" t="s">
        <v>621</v>
      </c>
      <c r="I648" s="21" t="s">
        <v>621</v>
      </c>
      <c r="J648" s="21" t="s">
        <v>621</v>
      </c>
      <c r="K648" s="21" t="s">
        <v>621</v>
      </c>
    </row>
    <row r="649" spans="1:11" x14ac:dyDescent="0.25">
      <c r="A649" s="20" t="s">
        <v>2713</v>
      </c>
      <c r="B649" s="21" t="s">
        <v>2714</v>
      </c>
      <c r="C649" s="21" t="s">
        <v>3814</v>
      </c>
      <c r="D649" s="21" t="s">
        <v>621</v>
      </c>
      <c r="E649" s="21" t="s">
        <v>621</v>
      </c>
      <c r="F649" s="21" t="s">
        <v>621</v>
      </c>
      <c r="G649" s="21" t="s">
        <v>621</v>
      </c>
      <c r="H649" s="21" t="s">
        <v>621</v>
      </c>
      <c r="I649" s="21" t="s">
        <v>621</v>
      </c>
      <c r="J649" s="21" t="s">
        <v>621</v>
      </c>
      <c r="K649" s="21" t="s">
        <v>621</v>
      </c>
    </row>
    <row r="650" spans="1:11" x14ac:dyDescent="0.25">
      <c r="A650" s="20" t="s">
        <v>2715</v>
      </c>
      <c r="B650" s="21" t="s">
        <v>2714</v>
      </c>
      <c r="C650" s="21" t="s">
        <v>2716</v>
      </c>
      <c r="D650" s="21" t="s">
        <v>3815</v>
      </c>
      <c r="E650" s="21" t="s">
        <v>621</v>
      </c>
      <c r="F650" s="21" t="s">
        <v>621</v>
      </c>
      <c r="G650" s="21" t="s">
        <v>621</v>
      </c>
      <c r="H650" s="21" t="s">
        <v>621</v>
      </c>
      <c r="I650" s="21" t="s">
        <v>621</v>
      </c>
      <c r="J650" s="21" t="s">
        <v>621</v>
      </c>
      <c r="K650" s="21" t="s">
        <v>621</v>
      </c>
    </row>
    <row r="651" spans="1:11" x14ac:dyDescent="0.25">
      <c r="A651" s="20" t="s">
        <v>3816</v>
      </c>
      <c r="B651" s="21" t="s">
        <v>3817</v>
      </c>
      <c r="C651" s="21" t="s">
        <v>621</v>
      </c>
      <c r="D651" s="21" t="s">
        <v>621</v>
      </c>
      <c r="E651" s="21" t="s">
        <v>621</v>
      </c>
      <c r="F651" s="21" t="s">
        <v>621</v>
      </c>
      <c r="G651" s="21" t="s">
        <v>621</v>
      </c>
      <c r="H651" s="21" t="s">
        <v>621</v>
      </c>
      <c r="I651" s="21" t="s">
        <v>621</v>
      </c>
      <c r="J651" s="21" t="s">
        <v>621</v>
      </c>
      <c r="K651" s="21" t="s">
        <v>621</v>
      </c>
    </row>
    <row r="652" spans="1:11" x14ac:dyDescent="0.25">
      <c r="A652" s="20" t="s">
        <v>3818</v>
      </c>
      <c r="B652" s="21" t="s">
        <v>3815</v>
      </c>
      <c r="C652" s="21" t="s">
        <v>621</v>
      </c>
      <c r="D652" s="21" t="s">
        <v>621</v>
      </c>
      <c r="E652" s="21" t="s">
        <v>621</v>
      </c>
      <c r="F652" s="21" t="s">
        <v>621</v>
      </c>
      <c r="G652" s="21" t="s">
        <v>621</v>
      </c>
      <c r="H652" s="21" t="s">
        <v>621</v>
      </c>
      <c r="I652" s="21" t="s">
        <v>621</v>
      </c>
      <c r="J652" s="21" t="s">
        <v>621</v>
      </c>
      <c r="K652" s="21" t="s">
        <v>621</v>
      </c>
    </row>
    <row r="653" spans="1:11" x14ac:dyDescent="0.25">
      <c r="A653" s="20" t="s">
        <v>3819</v>
      </c>
      <c r="B653" s="21" t="s">
        <v>3820</v>
      </c>
      <c r="C653" s="21" t="s">
        <v>621</v>
      </c>
      <c r="D653" s="21" t="s">
        <v>621</v>
      </c>
      <c r="E653" s="21" t="s">
        <v>621</v>
      </c>
      <c r="F653" s="21" t="s">
        <v>621</v>
      </c>
      <c r="G653" s="21" t="s">
        <v>621</v>
      </c>
      <c r="H653" s="21" t="s">
        <v>621</v>
      </c>
      <c r="I653" s="21" t="s">
        <v>621</v>
      </c>
      <c r="J653" s="21" t="s">
        <v>621</v>
      </c>
      <c r="K653" s="21" t="s">
        <v>621</v>
      </c>
    </row>
    <row r="654" spans="1:11" x14ac:dyDescent="0.25">
      <c r="A654" s="20" t="s">
        <v>3821</v>
      </c>
      <c r="B654" s="21" t="s">
        <v>3822</v>
      </c>
      <c r="C654" s="21" t="s">
        <v>621</v>
      </c>
      <c r="D654" s="21" t="s">
        <v>621</v>
      </c>
      <c r="E654" s="21" t="s">
        <v>621</v>
      </c>
      <c r="F654" s="21" t="s">
        <v>621</v>
      </c>
      <c r="G654" s="21" t="s">
        <v>621</v>
      </c>
      <c r="H654" s="21" t="s">
        <v>621</v>
      </c>
      <c r="I654" s="21" t="s">
        <v>621</v>
      </c>
      <c r="J654" s="21" t="s">
        <v>621</v>
      </c>
      <c r="K654" s="21" t="s">
        <v>621</v>
      </c>
    </row>
    <row r="655" spans="1:11" x14ac:dyDescent="0.25">
      <c r="A655" s="20" t="s">
        <v>3823</v>
      </c>
      <c r="B655" s="21" t="s">
        <v>3814</v>
      </c>
      <c r="C655" s="21" t="s">
        <v>621</v>
      </c>
      <c r="D655" s="21" t="s">
        <v>621</v>
      </c>
      <c r="E655" s="21" t="s">
        <v>621</v>
      </c>
      <c r="F655" s="21" t="s">
        <v>621</v>
      </c>
      <c r="G655" s="21" t="s">
        <v>621</v>
      </c>
      <c r="H655" s="21" t="s">
        <v>621</v>
      </c>
      <c r="I655" s="21" t="s">
        <v>621</v>
      </c>
      <c r="J655" s="21" t="s">
        <v>621</v>
      </c>
      <c r="K655" s="21" t="s">
        <v>621</v>
      </c>
    </row>
    <row r="656" spans="1:11" x14ac:dyDescent="0.25">
      <c r="A656" s="20" t="s">
        <v>3824</v>
      </c>
      <c r="B656" s="21" t="s">
        <v>3817</v>
      </c>
      <c r="C656" s="21" t="s">
        <v>621</v>
      </c>
      <c r="D656" s="21" t="s">
        <v>621</v>
      </c>
      <c r="E656" s="21" t="s">
        <v>621</v>
      </c>
      <c r="F656" s="21" t="s">
        <v>621</v>
      </c>
      <c r="G656" s="21" t="s">
        <v>621</v>
      </c>
      <c r="H656" s="21" t="s">
        <v>621</v>
      </c>
      <c r="I656" s="21" t="s">
        <v>621</v>
      </c>
      <c r="J656" s="21" t="s">
        <v>621</v>
      </c>
      <c r="K656" s="21" t="s">
        <v>621</v>
      </c>
    </row>
    <row r="657" spans="1:11" x14ac:dyDescent="0.25">
      <c r="A657" s="20" t="s">
        <v>2717</v>
      </c>
      <c r="B657" s="21" t="s">
        <v>2460</v>
      </c>
      <c r="C657" s="21" t="s">
        <v>2521</v>
      </c>
      <c r="D657" s="21" t="s">
        <v>2480</v>
      </c>
      <c r="E657" s="21" t="s">
        <v>2522</v>
      </c>
      <c r="F657" s="21" t="s">
        <v>2523</v>
      </c>
      <c r="G657" s="21" t="s">
        <v>2497</v>
      </c>
      <c r="H657" s="21" t="s">
        <v>3825</v>
      </c>
      <c r="I657" s="21" t="s">
        <v>621</v>
      </c>
      <c r="J657" s="21" t="s">
        <v>621</v>
      </c>
      <c r="K657" s="21" t="s">
        <v>621</v>
      </c>
    </row>
    <row r="658" spans="1:11" x14ac:dyDescent="0.25">
      <c r="A658" s="20" t="s">
        <v>2718</v>
      </c>
      <c r="B658" s="21" t="s">
        <v>2571</v>
      </c>
      <c r="C658" s="21" t="s">
        <v>621</v>
      </c>
      <c r="D658" s="21" t="s">
        <v>621</v>
      </c>
      <c r="E658" s="21" t="s">
        <v>621</v>
      </c>
      <c r="F658" s="21" t="s">
        <v>621</v>
      </c>
      <c r="G658" s="21" t="s">
        <v>621</v>
      </c>
      <c r="H658" s="21" t="s">
        <v>621</v>
      </c>
      <c r="I658" s="21" t="s">
        <v>621</v>
      </c>
      <c r="J658" s="21" t="s">
        <v>621</v>
      </c>
      <c r="K658" s="21" t="s">
        <v>621</v>
      </c>
    </row>
    <row r="659" spans="1:11" x14ac:dyDescent="0.25">
      <c r="A659" s="20" t="s">
        <v>2719</v>
      </c>
      <c r="B659" s="21" t="s">
        <v>2571</v>
      </c>
      <c r="C659" s="21" t="s">
        <v>621</v>
      </c>
      <c r="D659" s="21" t="s">
        <v>621</v>
      </c>
      <c r="E659" s="21" t="s">
        <v>621</v>
      </c>
      <c r="F659" s="21" t="s">
        <v>621</v>
      </c>
      <c r="G659" s="21" t="s">
        <v>621</v>
      </c>
      <c r="H659" s="21" t="s">
        <v>621</v>
      </c>
      <c r="I659" s="21" t="s">
        <v>621</v>
      </c>
      <c r="J659" s="21" t="s">
        <v>621</v>
      </c>
      <c r="K659" s="21" t="s">
        <v>621</v>
      </c>
    </row>
    <row r="660" spans="1:11" x14ac:dyDescent="0.25">
      <c r="A660" s="20" t="s">
        <v>2720</v>
      </c>
      <c r="B660" s="21" t="s">
        <v>2571</v>
      </c>
      <c r="C660" s="21" t="s">
        <v>621</v>
      </c>
      <c r="D660" s="21" t="s">
        <v>621</v>
      </c>
      <c r="E660" s="21" t="s">
        <v>621</v>
      </c>
      <c r="F660" s="21" t="s">
        <v>621</v>
      </c>
      <c r="G660" s="21" t="s">
        <v>621</v>
      </c>
      <c r="H660" s="21" t="s">
        <v>621</v>
      </c>
      <c r="I660" s="21" t="s">
        <v>621</v>
      </c>
      <c r="J660" s="21" t="s">
        <v>621</v>
      </c>
      <c r="K660" s="21" t="s">
        <v>621</v>
      </c>
    </row>
    <row r="661" spans="1:11" x14ac:dyDescent="0.25">
      <c r="A661" s="20" t="s">
        <v>2721</v>
      </c>
      <c r="B661" s="21" t="s">
        <v>2571</v>
      </c>
      <c r="C661" s="21" t="s">
        <v>3826</v>
      </c>
      <c r="D661" s="21" t="s">
        <v>621</v>
      </c>
      <c r="E661" s="21" t="s">
        <v>621</v>
      </c>
      <c r="F661" s="21" t="s">
        <v>621</v>
      </c>
      <c r="G661" s="21" t="s">
        <v>621</v>
      </c>
      <c r="H661" s="21" t="s">
        <v>621</v>
      </c>
      <c r="I661" s="21" t="s">
        <v>621</v>
      </c>
      <c r="J661" s="21" t="s">
        <v>621</v>
      </c>
      <c r="K661" s="21" t="s">
        <v>621</v>
      </c>
    </row>
    <row r="662" spans="1:11" x14ac:dyDescent="0.25">
      <c r="A662" s="20" t="s">
        <v>3827</v>
      </c>
      <c r="B662" s="21" t="s">
        <v>3723</v>
      </c>
      <c r="C662" s="21" t="s">
        <v>621</v>
      </c>
      <c r="D662" s="21" t="s">
        <v>621</v>
      </c>
      <c r="E662" s="21" t="s">
        <v>621</v>
      </c>
      <c r="F662" s="21" t="s">
        <v>621</v>
      </c>
      <c r="G662" s="21" t="s">
        <v>621</v>
      </c>
      <c r="H662" s="21" t="s">
        <v>621</v>
      </c>
      <c r="I662" s="21" t="s">
        <v>621</v>
      </c>
      <c r="J662" s="21" t="s">
        <v>621</v>
      </c>
      <c r="K662" s="21" t="s">
        <v>621</v>
      </c>
    </row>
    <row r="663" spans="1:11" x14ac:dyDescent="0.25">
      <c r="A663" s="20" t="s">
        <v>3828</v>
      </c>
      <c r="B663" s="21" t="s">
        <v>3728</v>
      </c>
      <c r="C663" s="21" t="s">
        <v>3729</v>
      </c>
      <c r="D663" s="21" t="s">
        <v>621</v>
      </c>
      <c r="E663" s="21" t="s">
        <v>621</v>
      </c>
      <c r="F663" s="21" t="s">
        <v>621</v>
      </c>
      <c r="G663" s="21" t="s">
        <v>621</v>
      </c>
      <c r="H663" s="21" t="s">
        <v>621</v>
      </c>
      <c r="I663" s="21" t="s">
        <v>621</v>
      </c>
      <c r="J663" s="21" t="s">
        <v>621</v>
      </c>
      <c r="K663" s="21" t="s">
        <v>621</v>
      </c>
    </row>
    <row r="664" spans="1:11" x14ac:dyDescent="0.25">
      <c r="A664" s="20" t="s">
        <v>3829</v>
      </c>
      <c r="B664" s="21" t="s">
        <v>3731</v>
      </c>
      <c r="C664" s="21" t="s">
        <v>3731</v>
      </c>
      <c r="D664" s="21" t="s">
        <v>621</v>
      </c>
      <c r="E664" s="21" t="s">
        <v>621</v>
      </c>
      <c r="F664" s="21" t="s">
        <v>621</v>
      </c>
      <c r="G664" s="21" t="s">
        <v>621</v>
      </c>
      <c r="H664" s="21" t="s">
        <v>621</v>
      </c>
      <c r="I664" s="21" t="s">
        <v>621</v>
      </c>
      <c r="J664" s="21" t="s">
        <v>621</v>
      </c>
      <c r="K664" s="21" t="s">
        <v>621</v>
      </c>
    </row>
    <row r="665" spans="1:11" x14ac:dyDescent="0.25">
      <c r="A665" s="20" t="s">
        <v>3830</v>
      </c>
      <c r="B665" s="21" t="s">
        <v>3733</v>
      </c>
      <c r="C665" s="21" t="s">
        <v>3831</v>
      </c>
      <c r="D665" s="21" t="s">
        <v>621</v>
      </c>
      <c r="E665" s="21" t="s">
        <v>621</v>
      </c>
      <c r="F665" s="21" t="s">
        <v>621</v>
      </c>
      <c r="G665" s="21" t="s">
        <v>621</v>
      </c>
      <c r="H665" s="21" t="s">
        <v>621</v>
      </c>
      <c r="I665" s="21" t="s">
        <v>621</v>
      </c>
      <c r="J665" s="21" t="s">
        <v>621</v>
      </c>
      <c r="K665" s="21" t="s">
        <v>621</v>
      </c>
    </row>
    <row r="666" spans="1:11" x14ac:dyDescent="0.25">
      <c r="A666" s="20" t="s">
        <v>2722</v>
      </c>
      <c r="B666" s="21" t="s">
        <v>2723</v>
      </c>
      <c r="C666" s="21" t="s">
        <v>2724</v>
      </c>
      <c r="D666" s="21" t="s">
        <v>3726</v>
      </c>
      <c r="E666" s="21" t="s">
        <v>621</v>
      </c>
      <c r="F666" s="21" t="s">
        <v>621</v>
      </c>
      <c r="G666" s="21" t="s">
        <v>621</v>
      </c>
      <c r="H666" s="21" t="s">
        <v>621</v>
      </c>
      <c r="I666" s="21" t="s">
        <v>621</v>
      </c>
      <c r="J666" s="21" t="s">
        <v>621</v>
      </c>
      <c r="K666" s="21" t="s">
        <v>621</v>
      </c>
    </row>
    <row r="667" spans="1:11" x14ac:dyDescent="0.25">
      <c r="A667" s="20" t="s">
        <v>3832</v>
      </c>
      <c r="B667" s="21" t="s">
        <v>3723</v>
      </c>
      <c r="C667" s="21" t="s">
        <v>2890</v>
      </c>
      <c r="D667" s="21" t="s">
        <v>3729</v>
      </c>
      <c r="E667" s="21" t="s">
        <v>621</v>
      </c>
      <c r="F667" s="21" t="s">
        <v>621</v>
      </c>
      <c r="G667" s="21" t="s">
        <v>621</v>
      </c>
      <c r="H667" s="21" t="s">
        <v>621</v>
      </c>
      <c r="I667" s="21" t="s">
        <v>621</v>
      </c>
      <c r="J667" s="21" t="s">
        <v>621</v>
      </c>
      <c r="K667" s="21" t="s">
        <v>621</v>
      </c>
    </row>
    <row r="668" spans="1:11" x14ac:dyDescent="0.25">
      <c r="A668" s="20" t="s">
        <v>3833</v>
      </c>
      <c r="B668" s="21" t="s">
        <v>3738</v>
      </c>
      <c r="C668" s="21" t="s">
        <v>3729</v>
      </c>
      <c r="D668" s="21" t="s">
        <v>621</v>
      </c>
      <c r="E668" s="21" t="s">
        <v>621</v>
      </c>
      <c r="F668" s="21" t="s">
        <v>621</v>
      </c>
      <c r="G668" s="21" t="s">
        <v>621</v>
      </c>
      <c r="H668" s="21" t="s">
        <v>621</v>
      </c>
      <c r="I668" s="21" t="s">
        <v>621</v>
      </c>
      <c r="J668" s="21" t="s">
        <v>621</v>
      </c>
      <c r="K668" s="21" t="s">
        <v>621</v>
      </c>
    </row>
    <row r="669" spans="1:11" x14ac:dyDescent="0.25">
      <c r="A669" s="20" t="s">
        <v>2725</v>
      </c>
      <c r="B669" s="21" t="s">
        <v>2695</v>
      </c>
      <c r="C669" s="21" t="s">
        <v>621</v>
      </c>
      <c r="D669" s="21" t="s">
        <v>621</v>
      </c>
      <c r="E669" s="21" t="s">
        <v>621</v>
      </c>
      <c r="F669" s="21" t="s">
        <v>621</v>
      </c>
      <c r="G669" s="21" t="s">
        <v>621</v>
      </c>
      <c r="H669" s="21" t="s">
        <v>621</v>
      </c>
      <c r="I669" s="21" t="s">
        <v>621</v>
      </c>
      <c r="J669" s="21" t="s">
        <v>621</v>
      </c>
      <c r="K669" s="21" t="s">
        <v>621</v>
      </c>
    </row>
    <row r="670" spans="1:11" x14ac:dyDescent="0.25">
      <c r="A670" s="20" t="s">
        <v>2726</v>
      </c>
      <c r="B670" s="21" t="s">
        <v>2695</v>
      </c>
      <c r="C670" s="21" t="s">
        <v>621</v>
      </c>
      <c r="D670" s="21" t="s">
        <v>621</v>
      </c>
      <c r="E670" s="21" t="s">
        <v>621</v>
      </c>
      <c r="F670" s="21" t="s">
        <v>621</v>
      </c>
      <c r="G670" s="21" t="s">
        <v>621</v>
      </c>
      <c r="H670" s="21" t="s">
        <v>621</v>
      </c>
      <c r="I670" s="21" t="s">
        <v>621</v>
      </c>
      <c r="J670" s="21" t="s">
        <v>621</v>
      </c>
      <c r="K670" s="21" t="s">
        <v>621</v>
      </c>
    </row>
    <row r="671" spans="1:11" x14ac:dyDescent="0.25">
      <c r="A671" s="20" t="s">
        <v>3834</v>
      </c>
      <c r="B671" s="21" t="s">
        <v>3835</v>
      </c>
      <c r="C671" s="21" t="s">
        <v>621</v>
      </c>
      <c r="D671" s="21" t="s">
        <v>621</v>
      </c>
      <c r="E671" s="21" t="s">
        <v>621</v>
      </c>
      <c r="F671" s="21" t="s">
        <v>621</v>
      </c>
      <c r="G671" s="21" t="s">
        <v>621</v>
      </c>
      <c r="H671" s="21" t="s">
        <v>621</v>
      </c>
      <c r="I671" s="21" t="s">
        <v>621</v>
      </c>
      <c r="J671" s="21" t="s">
        <v>621</v>
      </c>
      <c r="K671" s="21" t="s">
        <v>621</v>
      </c>
    </row>
    <row r="672" spans="1:11" x14ac:dyDescent="0.25">
      <c r="A672" s="20" t="s">
        <v>3836</v>
      </c>
      <c r="B672" s="21" t="s">
        <v>3837</v>
      </c>
      <c r="C672" s="21" t="s">
        <v>621</v>
      </c>
      <c r="D672" s="21" t="s">
        <v>621</v>
      </c>
      <c r="E672" s="21" t="s">
        <v>621</v>
      </c>
      <c r="F672" s="21" t="s">
        <v>621</v>
      </c>
      <c r="G672" s="21" t="s">
        <v>621</v>
      </c>
      <c r="H672" s="21" t="s">
        <v>621</v>
      </c>
      <c r="I672" s="21" t="s">
        <v>621</v>
      </c>
      <c r="J672" s="21" t="s">
        <v>621</v>
      </c>
      <c r="K672" s="21" t="s">
        <v>621</v>
      </c>
    </row>
    <row r="673" spans="1:11" x14ac:dyDescent="0.25">
      <c r="A673" s="20" t="s">
        <v>3838</v>
      </c>
      <c r="B673" s="21" t="s">
        <v>3835</v>
      </c>
      <c r="C673" s="21" t="s">
        <v>621</v>
      </c>
      <c r="D673" s="21" t="s">
        <v>621</v>
      </c>
      <c r="E673" s="21" t="s">
        <v>621</v>
      </c>
      <c r="F673" s="21" t="s">
        <v>621</v>
      </c>
      <c r="G673" s="21" t="s">
        <v>621</v>
      </c>
      <c r="H673" s="21" t="s">
        <v>621</v>
      </c>
      <c r="I673" s="21" t="s">
        <v>621</v>
      </c>
      <c r="J673" s="21" t="s">
        <v>621</v>
      </c>
      <c r="K673" s="21" t="s">
        <v>621</v>
      </c>
    </row>
    <row r="674" spans="1:11" x14ac:dyDescent="0.25">
      <c r="A674" s="20" t="s">
        <v>2727</v>
      </c>
      <c r="B674" s="21" t="s">
        <v>2728</v>
      </c>
      <c r="C674" s="21" t="s">
        <v>2729</v>
      </c>
      <c r="D674" s="21" t="s">
        <v>621</v>
      </c>
      <c r="E674" s="21" t="s">
        <v>621</v>
      </c>
      <c r="F674" s="21" t="s">
        <v>621</v>
      </c>
      <c r="G674" s="21" t="s">
        <v>621</v>
      </c>
      <c r="H674" s="21" t="s">
        <v>621</v>
      </c>
      <c r="I674" s="21" t="s">
        <v>621</v>
      </c>
      <c r="J674" s="21" t="s">
        <v>621</v>
      </c>
      <c r="K674" s="21" t="s">
        <v>621</v>
      </c>
    </row>
    <row r="675" spans="1:11" x14ac:dyDescent="0.25">
      <c r="A675" s="20" t="s">
        <v>3839</v>
      </c>
      <c r="B675" s="21" t="s">
        <v>3840</v>
      </c>
      <c r="C675" s="21" t="s">
        <v>621</v>
      </c>
      <c r="D675" s="21" t="s">
        <v>621</v>
      </c>
      <c r="E675" s="21" t="s">
        <v>621</v>
      </c>
      <c r="F675" s="21" t="s">
        <v>621</v>
      </c>
      <c r="G675" s="21" t="s">
        <v>621</v>
      </c>
      <c r="H675" s="21" t="s">
        <v>621</v>
      </c>
      <c r="I675" s="21" t="s">
        <v>621</v>
      </c>
      <c r="J675" s="21" t="s">
        <v>621</v>
      </c>
      <c r="K675" s="21" t="s">
        <v>621</v>
      </c>
    </row>
    <row r="676" spans="1:11" x14ac:dyDescent="0.25">
      <c r="A676" s="20" t="s">
        <v>3841</v>
      </c>
      <c r="B676" s="21" t="s">
        <v>3840</v>
      </c>
      <c r="C676" s="21" t="s">
        <v>621</v>
      </c>
      <c r="D676" s="21" t="s">
        <v>621</v>
      </c>
      <c r="E676" s="21" t="s">
        <v>621</v>
      </c>
      <c r="F676" s="21" t="s">
        <v>621</v>
      </c>
      <c r="G676" s="21" t="s">
        <v>621</v>
      </c>
      <c r="H676" s="21" t="s">
        <v>621</v>
      </c>
      <c r="I676" s="21" t="s">
        <v>621</v>
      </c>
      <c r="J676" s="21" t="s">
        <v>621</v>
      </c>
      <c r="K676" s="21" t="s">
        <v>621</v>
      </c>
    </row>
    <row r="677" spans="1:11" x14ac:dyDescent="0.25">
      <c r="A677" s="20" t="s">
        <v>3842</v>
      </c>
      <c r="B677" s="21" t="s">
        <v>3843</v>
      </c>
      <c r="C677" s="21" t="s">
        <v>621</v>
      </c>
      <c r="D677" s="21" t="s">
        <v>621</v>
      </c>
      <c r="E677" s="21" t="s">
        <v>621</v>
      </c>
      <c r="F677" s="21" t="s">
        <v>621</v>
      </c>
      <c r="G677" s="21" t="s">
        <v>621</v>
      </c>
      <c r="H677" s="21" t="s">
        <v>621</v>
      </c>
      <c r="I677" s="21" t="s">
        <v>621</v>
      </c>
      <c r="J677" s="21" t="s">
        <v>621</v>
      </c>
      <c r="K677" s="21" t="s">
        <v>621</v>
      </c>
    </row>
    <row r="678" spans="1:11" x14ac:dyDescent="0.25">
      <c r="A678" s="20" t="s">
        <v>3844</v>
      </c>
      <c r="B678" s="21" t="s">
        <v>3843</v>
      </c>
      <c r="C678" s="21" t="s">
        <v>621</v>
      </c>
      <c r="D678" s="21" t="s">
        <v>621</v>
      </c>
      <c r="E678" s="21" t="s">
        <v>621</v>
      </c>
      <c r="F678" s="21" t="s">
        <v>621</v>
      </c>
      <c r="G678" s="21" t="s">
        <v>621</v>
      </c>
      <c r="H678" s="21" t="s">
        <v>621</v>
      </c>
      <c r="I678" s="21" t="s">
        <v>621</v>
      </c>
      <c r="J678" s="21" t="s">
        <v>621</v>
      </c>
      <c r="K678" s="21" t="s">
        <v>621</v>
      </c>
    </row>
    <row r="679" spans="1:11" x14ac:dyDescent="0.25">
      <c r="A679" s="20" t="s">
        <v>3845</v>
      </c>
      <c r="B679" s="21" t="s">
        <v>3311</v>
      </c>
      <c r="C679" s="21" t="s">
        <v>3312</v>
      </c>
      <c r="D679" s="21" t="s">
        <v>3419</v>
      </c>
      <c r="E679" s="21" t="s">
        <v>621</v>
      </c>
      <c r="F679" s="21" t="s">
        <v>621</v>
      </c>
      <c r="G679" s="21" t="s">
        <v>621</v>
      </c>
      <c r="H679" s="21" t="s">
        <v>621</v>
      </c>
      <c r="I679" s="21" t="s">
        <v>621</v>
      </c>
      <c r="J679" s="21" t="s">
        <v>621</v>
      </c>
      <c r="K679" s="21" t="s">
        <v>621</v>
      </c>
    </row>
    <row r="680" spans="1:11" x14ac:dyDescent="0.25">
      <c r="A680" s="20" t="s">
        <v>3846</v>
      </c>
      <c r="B680" s="21" t="s">
        <v>3311</v>
      </c>
      <c r="C680" s="21" t="s">
        <v>3312</v>
      </c>
      <c r="D680" s="21" t="s">
        <v>621</v>
      </c>
      <c r="E680" s="21" t="s">
        <v>621</v>
      </c>
      <c r="F680" s="21" t="s">
        <v>621</v>
      </c>
      <c r="G680" s="21" t="s">
        <v>621</v>
      </c>
      <c r="H680" s="21" t="s">
        <v>621</v>
      </c>
      <c r="I680" s="21" t="s">
        <v>621</v>
      </c>
      <c r="J680" s="21" t="s">
        <v>621</v>
      </c>
      <c r="K680" s="21" t="s">
        <v>621</v>
      </c>
    </row>
    <row r="681" spans="1:11" x14ac:dyDescent="0.25">
      <c r="A681" s="20" t="s">
        <v>3847</v>
      </c>
      <c r="B681" s="21" t="s">
        <v>3848</v>
      </c>
      <c r="C681" s="21" t="s">
        <v>3849</v>
      </c>
      <c r="D681" s="21" t="s">
        <v>621</v>
      </c>
      <c r="E681" s="21" t="s">
        <v>621</v>
      </c>
      <c r="F681" s="21" t="s">
        <v>621</v>
      </c>
      <c r="G681" s="21" t="s">
        <v>621</v>
      </c>
      <c r="H681" s="21" t="s">
        <v>621</v>
      </c>
      <c r="I681" s="21" t="s">
        <v>621</v>
      </c>
      <c r="J681" s="21" t="s">
        <v>621</v>
      </c>
      <c r="K681" s="21" t="s">
        <v>621</v>
      </c>
    </row>
    <row r="682" spans="1:11" x14ac:dyDescent="0.25">
      <c r="A682" s="20" t="s">
        <v>3850</v>
      </c>
      <c r="B682" s="21" t="s">
        <v>3110</v>
      </c>
      <c r="C682" s="21" t="s">
        <v>621</v>
      </c>
      <c r="D682" s="21" t="s">
        <v>621</v>
      </c>
      <c r="E682" s="21" t="s">
        <v>621</v>
      </c>
      <c r="F682" s="21" t="s">
        <v>621</v>
      </c>
      <c r="G682" s="21" t="s">
        <v>621</v>
      </c>
      <c r="H682" s="21" t="s">
        <v>621</v>
      </c>
      <c r="I682" s="21" t="s">
        <v>621</v>
      </c>
      <c r="J682" s="21" t="s">
        <v>621</v>
      </c>
      <c r="K682" s="21" t="s">
        <v>621</v>
      </c>
    </row>
    <row r="683" spans="1:11" x14ac:dyDescent="0.25">
      <c r="A683" s="20" t="s">
        <v>3851</v>
      </c>
      <c r="B683" s="21" t="s">
        <v>3852</v>
      </c>
      <c r="C683" s="21" t="s">
        <v>621</v>
      </c>
      <c r="D683" s="21" t="s">
        <v>621</v>
      </c>
      <c r="E683" s="21" t="s">
        <v>621</v>
      </c>
      <c r="F683" s="21" t="s">
        <v>621</v>
      </c>
      <c r="G683" s="21" t="s">
        <v>621</v>
      </c>
      <c r="H683" s="21" t="s">
        <v>621</v>
      </c>
      <c r="I683" s="21" t="s">
        <v>621</v>
      </c>
      <c r="J683" s="21" t="s">
        <v>621</v>
      </c>
      <c r="K683" s="21" t="s">
        <v>621</v>
      </c>
    </row>
    <row r="684" spans="1:11" x14ac:dyDescent="0.25">
      <c r="A684" s="20" t="s">
        <v>3853</v>
      </c>
      <c r="B684" s="21" t="s">
        <v>3852</v>
      </c>
      <c r="C684" s="21" t="s">
        <v>621</v>
      </c>
      <c r="D684" s="21" t="s">
        <v>621</v>
      </c>
      <c r="E684" s="21" t="s">
        <v>621</v>
      </c>
      <c r="F684" s="21" t="s">
        <v>621</v>
      </c>
      <c r="G684" s="21" t="s">
        <v>621</v>
      </c>
      <c r="H684" s="21" t="s">
        <v>621</v>
      </c>
      <c r="I684" s="21" t="s">
        <v>621</v>
      </c>
      <c r="J684" s="21" t="s">
        <v>621</v>
      </c>
      <c r="K684" s="21" t="s">
        <v>621</v>
      </c>
    </row>
    <row r="685" spans="1:11" x14ac:dyDescent="0.25">
      <c r="A685" s="20" t="s">
        <v>3854</v>
      </c>
      <c r="B685" s="21" t="s">
        <v>3855</v>
      </c>
      <c r="C685" s="21" t="s">
        <v>621</v>
      </c>
      <c r="D685" s="21" t="s">
        <v>621</v>
      </c>
      <c r="E685" s="21" t="s">
        <v>621</v>
      </c>
      <c r="F685" s="21" t="s">
        <v>621</v>
      </c>
      <c r="G685" s="21" t="s">
        <v>621</v>
      </c>
      <c r="H685" s="21" t="s">
        <v>621</v>
      </c>
      <c r="I685" s="21" t="s">
        <v>621</v>
      </c>
      <c r="J685" s="21" t="s">
        <v>621</v>
      </c>
      <c r="K685" s="21" t="s">
        <v>621</v>
      </c>
    </row>
    <row r="686" spans="1:11" x14ac:dyDescent="0.25">
      <c r="A686" s="20" t="s">
        <v>3856</v>
      </c>
      <c r="B686" s="21" t="s">
        <v>3857</v>
      </c>
      <c r="C686" s="21" t="s">
        <v>621</v>
      </c>
      <c r="D686" s="21" t="s">
        <v>621</v>
      </c>
      <c r="E686" s="21" t="s">
        <v>621</v>
      </c>
      <c r="F686" s="21" t="s">
        <v>621</v>
      </c>
      <c r="G686" s="21" t="s">
        <v>621</v>
      </c>
      <c r="H686" s="21" t="s">
        <v>621</v>
      </c>
      <c r="I686" s="21" t="s">
        <v>621</v>
      </c>
      <c r="J686" s="21" t="s">
        <v>621</v>
      </c>
      <c r="K686" s="21" t="s">
        <v>621</v>
      </c>
    </row>
    <row r="687" spans="1:11" x14ac:dyDescent="0.25">
      <c r="A687" s="20" t="s">
        <v>3858</v>
      </c>
      <c r="B687" s="21" t="s">
        <v>3723</v>
      </c>
      <c r="C687" s="21" t="s">
        <v>621</v>
      </c>
      <c r="D687" s="21" t="s">
        <v>621</v>
      </c>
      <c r="E687" s="21" t="s">
        <v>621</v>
      </c>
      <c r="F687" s="21" t="s">
        <v>621</v>
      </c>
      <c r="G687" s="21" t="s">
        <v>621</v>
      </c>
      <c r="H687" s="21" t="s">
        <v>621</v>
      </c>
      <c r="I687" s="21" t="s">
        <v>621</v>
      </c>
      <c r="J687" s="21" t="s">
        <v>621</v>
      </c>
      <c r="K687" s="21" t="s">
        <v>621</v>
      </c>
    </row>
    <row r="688" spans="1:11" x14ac:dyDescent="0.25">
      <c r="A688" s="20" t="s">
        <v>3859</v>
      </c>
      <c r="B688" s="21" t="s">
        <v>3726</v>
      </c>
      <c r="C688" s="21" t="s">
        <v>621</v>
      </c>
      <c r="D688" s="21" t="s">
        <v>621</v>
      </c>
      <c r="E688" s="21" t="s">
        <v>621</v>
      </c>
      <c r="F688" s="21" t="s">
        <v>621</v>
      </c>
      <c r="G688" s="21" t="s">
        <v>621</v>
      </c>
      <c r="H688" s="21" t="s">
        <v>621</v>
      </c>
      <c r="I688" s="21" t="s">
        <v>621</v>
      </c>
      <c r="J688" s="21" t="s">
        <v>621</v>
      </c>
      <c r="K688" s="21" t="s">
        <v>621</v>
      </c>
    </row>
    <row r="689" spans="1:11" x14ac:dyDescent="0.25">
      <c r="A689" s="20" t="s">
        <v>3860</v>
      </c>
      <c r="B689" s="21" t="s">
        <v>3728</v>
      </c>
      <c r="C689" s="21" t="s">
        <v>3729</v>
      </c>
      <c r="D689" s="21" t="s">
        <v>621</v>
      </c>
      <c r="E689" s="21" t="s">
        <v>621</v>
      </c>
      <c r="F689" s="21" t="s">
        <v>621</v>
      </c>
      <c r="G689" s="21" t="s">
        <v>621</v>
      </c>
      <c r="H689" s="21" t="s">
        <v>621</v>
      </c>
      <c r="I689" s="21" t="s">
        <v>621</v>
      </c>
      <c r="J689" s="21" t="s">
        <v>621</v>
      </c>
      <c r="K689" s="21" t="s">
        <v>621</v>
      </c>
    </row>
    <row r="690" spans="1:11" x14ac:dyDescent="0.25">
      <c r="A690" s="20" t="s">
        <v>3861</v>
      </c>
      <c r="B690" s="21" t="s">
        <v>3731</v>
      </c>
      <c r="C690" s="21" t="s">
        <v>621</v>
      </c>
      <c r="D690" s="21" t="s">
        <v>621</v>
      </c>
      <c r="E690" s="21" t="s">
        <v>621</v>
      </c>
      <c r="F690" s="21" t="s">
        <v>621</v>
      </c>
      <c r="G690" s="21" t="s">
        <v>621</v>
      </c>
      <c r="H690" s="21" t="s">
        <v>621</v>
      </c>
      <c r="I690" s="21" t="s">
        <v>621</v>
      </c>
      <c r="J690" s="21" t="s">
        <v>621</v>
      </c>
      <c r="K690" s="21" t="s">
        <v>621</v>
      </c>
    </row>
    <row r="691" spans="1:11" x14ac:dyDescent="0.25">
      <c r="A691" s="20" t="s">
        <v>3862</v>
      </c>
      <c r="B691" s="21" t="s">
        <v>3733</v>
      </c>
      <c r="C691" s="21" t="s">
        <v>3831</v>
      </c>
      <c r="D691" s="21" t="s">
        <v>621</v>
      </c>
      <c r="E691" s="21" t="s">
        <v>621</v>
      </c>
      <c r="F691" s="21" t="s">
        <v>621</v>
      </c>
      <c r="G691" s="21" t="s">
        <v>621</v>
      </c>
      <c r="H691" s="21" t="s">
        <v>621</v>
      </c>
      <c r="I691" s="21" t="s">
        <v>621</v>
      </c>
      <c r="J691" s="21" t="s">
        <v>621</v>
      </c>
      <c r="K691" s="21" t="s">
        <v>621</v>
      </c>
    </row>
    <row r="692" spans="1:11" x14ac:dyDescent="0.25">
      <c r="A692" s="20" t="s">
        <v>3863</v>
      </c>
      <c r="B692" s="21" t="s">
        <v>3723</v>
      </c>
      <c r="C692" s="21" t="s">
        <v>621</v>
      </c>
      <c r="D692" s="21" t="s">
        <v>621</v>
      </c>
      <c r="E692" s="21" t="s">
        <v>621</v>
      </c>
      <c r="F692" s="21" t="s">
        <v>621</v>
      </c>
      <c r="G692" s="21" t="s">
        <v>621</v>
      </c>
      <c r="H692" s="21" t="s">
        <v>621</v>
      </c>
      <c r="I692" s="21" t="s">
        <v>621</v>
      </c>
      <c r="J692" s="21" t="s">
        <v>621</v>
      </c>
      <c r="K692" s="21" t="s">
        <v>621</v>
      </c>
    </row>
    <row r="693" spans="1:11" x14ac:dyDescent="0.25">
      <c r="A693" s="20" t="s">
        <v>3864</v>
      </c>
      <c r="B693" s="21" t="s">
        <v>2890</v>
      </c>
      <c r="C693" s="21" t="s">
        <v>621</v>
      </c>
      <c r="D693" s="21" t="s">
        <v>621</v>
      </c>
      <c r="E693" s="21" t="s">
        <v>621</v>
      </c>
      <c r="F693" s="21" t="s">
        <v>621</v>
      </c>
      <c r="G693" s="21" t="s">
        <v>621</v>
      </c>
      <c r="H693" s="21" t="s">
        <v>621</v>
      </c>
      <c r="I693" s="21" t="s">
        <v>621</v>
      </c>
      <c r="J693" s="21" t="s">
        <v>621</v>
      </c>
      <c r="K693" s="21" t="s">
        <v>621</v>
      </c>
    </row>
    <row r="694" spans="1:11" x14ac:dyDescent="0.25">
      <c r="A694" s="20" t="s">
        <v>2730</v>
      </c>
      <c r="B694" s="21" t="s">
        <v>2731</v>
      </c>
      <c r="C694" s="21" t="s">
        <v>621</v>
      </c>
      <c r="D694" s="21" t="s">
        <v>621</v>
      </c>
      <c r="E694" s="21" t="s">
        <v>621</v>
      </c>
      <c r="F694" s="21" t="s">
        <v>621</v>
      </c>
      <c r="G694" s="21" t="s">
        <v>621</v>
      </c>
      <c r="H694" s="21" t="s">
        <v>621</v>
      </c>
      <c r="I694" s="21" t="s">
        <v>621</v>
      </c>
      <c r="J694" s="21" t="s">
        <v>621</v>
      </c>
      <c r="K694" s="21" t="s">
        <v>621</v>
      </c>
    </row>
    <row r="695" spans="1:11" x14ac:dyDescent="0.25">
      <c r="A695" s="20" t="s">
        <v>3865</v>
      </c>
      <c r="B695" s="21" t="s">
        <v>2890</v>
      </c>
      <c r="C695" s="21" t="s">
        <v>621</v>
      </c>
      <c r="D695" s="21" t="s">
        <v>621</v>
      </c>
      <c r="E695" s="21" t="s">
        <v>621</v>
      </c>
      <c r="F695" s="21" t="s">
        <v>621</v>
      </c>
      <c r="G695" s="21" t="s">
        <v>621</v>
      </c>
      <c r="H695" s="21" t="s">
        <v>621</v>
      </c>
      <c r="I695" s="21" t="s">
        <v>621</v>
      </c>
      <c r="J695" s="21" t="s">
        <v>621</v>
      </c>
      <c r="K695" s="21" t="s">
        <v>621</v>
      </c>
    </row>
    <row r="696" spans="1:11" x14ac:dyDescent="0.25">
      <c r="A696" s="20" t="s">
        <v>3866</v>
      </c>
      <c r="B696" s="21" t="s">
        <v>3867</v>
      </c>
      <c r="C696" s="21" t="s">
        <v>621</v>
      </c>
      <c r="D696" s="21" t="s">
        <v>621</v>
      </c>
      <c r="E696" s="21" t="s">
        <v>621</v>
      </c>
      <c r="F696" s="21" t="s">
        <v>621</v>
      </c>
      <c r="G696" s="21" t="s">
        <v>621</v>
      </c>
      <c r="H696" s="21" t="s">
        <v>621</v>
      </c>
      <c r="I696" s="21" t="s">
        <v>621</v>
      </c>
      <c r="J696" s="21" t="s">
        <v>621</v>
      </c>
      <c r="K696" s="21" t="s">
        <v>621</v>
      </c>
    </row>
    <row r="697" spans="1:11" x14ac:dyDescent="0.25">
      <c r="A697" s="20" t="s">
        <v>3868</v>
      </c>
      <c r="B697" s="21" t="s">
        <v>3869</v>
      </c>
      <c r="C697" s="21" t="s">
        <v>621</v>
      </c>
      <c r="D697" s="21" t="s">
        <v>621</v>
      </c>
      <c r="E697" s="21" t="s">
        <v>621</v>
      </c>
      <c r="F697" s="21" t="s">
        <v>621</v>
      </c>
      <c r="G697" s="21" t="s">
        <v>621</v>
      </c>
      <c r="H697" s="21" t="s">
        <v>621</v>
      </c>
      <c r="I697" s="21" t="s">
        <v>621</v>
      </c>
      <c r="J697" s="21" t="s">
        <v>621</v>
      </c>
      <c r="K697" s="21" t="s">
        <v>621</v>
      </c>
    </row>
    <row r="698" spans="1:11" x14ac:dyDescent="0.25">
      <c r="A698" s="20" t="s">
        <v>3870</v>
      </c>
      <c r="B698" s="21" t="s">
        <v>3871</v>
      </c>
      <c r="C698" s="21" t="s">
        <v>621</v>
      </c>
      <c r="D698" s="21" t="s">
        <v>621</v>
      </c>
      <c r="E698" s="21" t="s">
        <v>621</v>
      </c>
      <c r="F698" s="21" t="s">
        <v>621</v>
      </c>
      <c r="G698" s="21" t="s">
        <v>621</v>
      </c>
      <c r="H698" s="21" t="s">
        <v>621</v>
      </c>
      <c r="I698" s="21" t="s">
        <v>621</v>
      </c>
      <c r="J698" s="21" t="s">
        <v>621</v>
      </c>
      <c r="K698" s="21" t="s">
        <v>621</v>
      </c>
    </row>
    <row r="699" spans="1:11" x14ac:dyDescent="0.25">
      <c r="A699" s="20" t="s">
        <v>3872</v>
      </c>
      <c r="B699" s="21" t="s">
        <v>3869</v>
      </c>
      <c r="C699" s="21" t="s">
        <v>621</v>
      </c>
      <c r="D699" s="21" t="s">
        <v>621</v>
      </c>
      <c r="E699" s="21" t="s">
        <v>621</v>
      </c>
      <c r="F699" s="21" t="s">
        <v>621</v>
      </c>
      <c r="G699" s="21" t="s">
        <v>621</v>
      </c>
      <c r="H699" s="21" t="s">
        <v>621</v>
      </c>
      <c r="I699" s="21" t="s">
        <v>621</v>
      </c>
      <c r="J699" s="21" t="s">
        <v>621</v>
      </c>
      <c r="K699" s="21" t="s">
        <v>621</v>
      </c>
    </row>
    <row r="700" spans="1:11" x14ac:dyDescent="0.25">
      <c r="A700" s="20" t="s">
        <v>3873</v>
      </c>
      <c r="B700" s="21" t="s">
        <v>3874</v>
      </c>
      <c r="C700" s="21" t="s">
        <v>621</v>
      </c>
      <c r="D700" s="21" t="s">
        <v>621</v>
      </c>
      <c r="E700" s="21" t="s">
        <v>621</v>
      </c>
      <c r="F700" s="21" t="s">
        <v>621</v>
      </c>
      <c r="G700" s="21" t="s">
        <v>621</v>
      </c>
      <c r="H700" s="21" t="s">
        <v>621</v>
      </c>
      <c r="I700" s="21" t="s">
        <v>621</v>
      </c>
      <c r="J700" s="21" t="s">
        <v>621</v>
      </c>
      <c r="K700" s="21" t="s">
        <v>621</v>
      </c>
    </row>
    <row r="701" spans="1:11" x14ac:dyDescent="0.25">
      <c r="A701" s="20" t="s">
        <v>3875</v>
      </c>
      <c r="B701" s="21" t="s">
        <v>3876</v>
      </c>
      <c r="C701" s="21" t="s">
        <v>621</v>
      </c>
      <c r="D701" s="21" t="s">
        <v>621</v>
      </c>
      <c r="E701" s="21" t="s">
        <v>621</v>
      </c>
      <c r="F701" s="21" t="s">
        <v>621</v>
      </c>
      <c r="G701" s="21" t="s">
        <v>621</v>
      </c>
      <c r="H701" s="21" t="s">
        <v>621</v>
      </c>
      <c r="I701" s="21" t="s">
        <v>621</v>
      </c>
      <c r="J701" s="21" t="s">
        <v>621</v>
      </c>
      <c r="K701" s="21" t="s">
        <v>621</v>
      </c>
    </row>
    <row r="702" spans="1:11" x14ac:dyDescent="0.25">
      <c r="A702" s="20" t="s">
        <v>3877</v>
      </c>
      <c r="B702" s="21" t="s">
        <v>3878</v>
      </c>
      <c r="C702" s="21" t="s">
        <v>3136</v>
      </c>
      <c r="D702" s="21" t="s">
        <v>3878</v>
      </c>
      <c r="E702" s="21" t="s">
        <v>3136</v>
      </c>
      <c r="F702" s="21" t="s">
        <v>621</v>
      </c>
      <c r="G702" s="21" t="s">
        <v>621</v>
      </c>
      <c r="H702" s="21" t="s">
        <v>621</v>
      </c>
      <c r="I702" s="21" t="s">
        <v>621</v>
      </c>
      <c r="J702" s="21" t="s">
        <v>621</v>
      </c>
      <c r="K702" s="21" t="s">
        <v>621</v>
      </c>
    </row>
    <row r="703" spans="1:11" x14ac:dyDescent="0.25">
      <c r="A703" s="20" t="s">
        <v>3879</v>
      </c>
      <c r="B703" s="21" t="s">
        <v>3880</v>
      </c>
      <c r="C703" s="21" t="s">
        <v>621</v>
      </c>
      <c r="D703" s="21" t="s">
        <v>621</v>
      </c>
      <c r="E703" s="21" t="s">
        <v>621</v>
      </c>
      <c r="F703" s="21" t="s">
        <v>621</v>
      </c>
      <c r="G703" s="21" t="s">
        <v>621</v>
      </c>
      <c r="H703" s="21" t="s">
        <v>621</v>
      </c>
      <c r="I703" s="21" t="s">
        <v>621</v>
      </c>
      <c r="J703" s="21" t="s">
        <v>621</v>
      </c>
      <c r="K703" s="21" t="s">
        <v>621</v>
      </c>
    </row>
    <row r="704" spans="1:11" x14ac:dyDescent="0.25">
      <c r="A704" s="20" t="s">
        <v>3881</v>
      </c>
      <c r="B704" s="21" t="s">
        <v>3882</v>
      </c>
      <c r="C704" s="21" t="s">
        <v>621</v>
      </c>
      <c r="D704" s="21" t="s">
        <v>621</v>
      </c>
      <c r="E704" s="21" t="s">
        <v>621</v>
      </c>
      <c r="F704" s="21" t="s">
        <v>621</v>
      </c>
      <c r="G704" s="21" t="s">
        <v>621</v>
      </c>
      <c r="H704" s="21" t="s">
        <v>621</v>
      </c>
      <c r="I704" s="21" t="s">
        <v>621</v>
      </c>
      <c r="J704" s="21" t="s">
        <v>621</v>
      </c>
      <c r="K704" s="21" t="s">
        <v>621</v>
      </c>
    </row>
    <row r="705" spans="1:11" x14ac:dyDescent="0.25">
      <c r="A705" s="20" t="s">
        <v>3883</v>
      </c>
      <c r="B705" s="21" t="s">
        <v>3880</v>
      </c>
      <c r="C705" s="21" t="s">
        <v>621</v>
      </c>
      <c r="D705" s="21" t="s">
        <v>621</v>
      </c>
      <c r="E705" s="21" t="s">
        <v>621</v>
      </c>
      <c r="F705" s="21" t="s">
        <v>621</v>
      </c>
      <c r="G705" s="21" t="s">
        <v>621</v>
      </c>
      <c r="H705" s="21" t="s">
        <v>621</v>
      </c>
      <c r="I705" s="21" t="s">
        <v>621</v>
      </c>
      <c r="J705" s="21" t="s">
        <v>621</v>
      </c>
      <c r="K705" s="21" t="s">
        <v>621</v>
      </c>
    </row>
    <row r="706" spans="1:11" x14ac:dyDescent="0.25">
      <c r="A706" s="20" t="s">
        <v>3884</v>
      </c>
      <c r="B706" s="21" t="s">
        <v>3880</v>
      </c>
      <c r="C706" s="21" t="s">
        <v>621</v>
      </c>
      <c r="D706" s="21" t="s">
        <v>621</v>
      </c>
      <c r="E706" s="21" t="s">
        <v>621</v>
      </c>
      <c r="F706" s="21" t="s">
        <v>621</v>
      </c>
      <c r="G706" s="21" t="s">
        <v>621</v>
      </c>
      <c r="H706" s="21" t="s">
        <v>621</v>
      </c>
      <c r="I706" s="21" t="s">
        <v>621</v>
      </c>
      <c r="J706" s="21" t="s">
        <v>621</v>
      </c>
      <c r="K706" s="21" t="s">
        <v>621</v>
      </c>
    </row>
    <row r="707" spans="1:11" x14ac:dyDescent="0.25">
      <c r="A707" s="20" t="s">
        <v>3885</v>
      </c>
      <c r="B707" s="21" t="s">
        <v>3886</v>
      </c>
      <c r="C707" s="21" t="s">
        <v>621</v>
      </c>
      <c r="D707" s="21" t="s">
        <v>621</v>
      </c>
      <c r="E707" s="21" t="s">
        <v>621</v>
      </c>
      <c r="F707" s="21" t="s">
        <v>621</v>
      </c>
      <c r="G707" s="21" t="s">
        <v>621</v>
      </c>
      <c r="H707" s="21" t="s">
        <v>621</v>
      </c>
      <c r="I707" s="21" t="s">
        <v>621</v>
      </c>
      <c r="J707" s="21" t="s">
        <v>621</v>
      </c>
      <c r="K707" s="21" t="s">
        <v>621</v>
      </c>
    </row>
    <row r="708" spans="1:11" x14ac:dyDescent="0.25">
      <c r="A708" s="20" t="s">
        <v>3887</v>
      </c>
      <c r="B708" s="21" t="s">
        <v>3888</v>
      </c>
      <c r="C708" s="21" t="s">
        <v>621</v>
      </c>
      <c r="D708" s="21" t="s">
        <v>621</v>
      </c>
      <c r="E708" s="21" t="s">
        <v>621</v>
      </c>
      <c r="F708" s="21" t="s">
        <v>621</v>
      </c>
      <c r="G708" s="21" t="s">
        <v>621</v>
      </c>
      <c r="H708" s="21" t="s">
        <v>621</v>
      </c>
      <c r="I708" s="21" t="s">
        <v>621</v>
      </c>
      <c r="J708" s="21" t="s">
        <v>621</v>
      </c>
      <c r="K708" s="21" t="s">
        <v>621</v>
      </c>
    </row>
    <row r="709" spans="1:11" x14ac:dyDescent="0.25">
      <c r="A709" s="20" t="s">
        <v>3889</v>
      </c>
      <c r="B709" s="21" t="s">
        <v>3890</v>
      </c>
      <c r="C709" s="21" t="s">
        <v>621</v>
      </c>
      <c r="D709" s="21" t="s">
        <v>621</v>
      </c>
      <c r="E709" s="21" t="s">
        <v>621</v>
      </c>
      <c r="F709" s="21" t="s">
        <v>621</v>
      </c>
      <c r="G709" s="21" t="s">
        <v>621</v>
      </c>
      <c r="H709" s="21" t="s">
        <v>621</v>
      </c>
      <c r="I709" s="21" t="s">
        <v>621</v>
      </c>
      <c r="J709" s="21" t="s">
        <v>621</v>
      </c>
      <c r="K709" s="21" t="s">
        <v>621</v>
      </c>
    </row>
    <row r="710" spans="1:11" x14ac:dyDescent="0.25">
      <c r="A710" s="20" t="s">
        <v>3891</v>
      </c>
      <c r="B710" s="21" t="s">
        <v>3890</v>
      </c>
      <c r="C710" s="21" t="s">
        <v>621</v>
      </c>
      <c r="D710" s="21" t="s">
        <v>621</v>
      </c>
      <c r="E710" s="21" t="s">
        <v>621</v>
      </c>
      <c r="F710" s="21" t="s">
        <v>621</v>
      </c>
      <c r="G710" s="21" t="s">
        <v>621</v>
      </c>
      <c r="H710" s="21" t="s">
        <v>621</v>
      </c>
      <c r="I710" s="21" t="s">
        <v>621</v>
      </c>
      <c r="J710" s="21" t="s">
        <v>621</v>
      </c>
      <c r="K710" s="21" t="s">
        <v>621</v>
      </c>
    </row>
    <row r="711" spans="1:11" x14ac:dyDescent="0.25">
      <c r="A711" s="20" t="s">
        <v>3892</v>
      </c>
      <c r="B711" s="21" t="s">
        <v>3893</v>
      </c>
      <c r="C711" s="21" t="s">
        <v>621</v>
      </c>
      <c r="D711" s="21" t="s">
        <v>621</v>
      </c>
      <c r="E711" s="21" t="s">
        <v>621</v>
      </c>
      <c r="F711" s="21" t="s">
        <v>621</v>
      </c>
      <c r="G711" s="21" t="s">
        <v>621</v>
      </c>
      <c r="H711" s="21" t="s">
        <v>621</v>
      </c>
      <c r="I711" s="21" t="s">
        <v>621</v>
      </c>
      <c r="J711" s="21" t="s">
        <v>621</v>
      </c>
      <c r="K711" s="21" t="s">
        <v>621</v>
      </c>
    </row>
    <row r="712" spans="1:11" x14ac:dyDescent="0.25">
      <c r="A712" s="20" t="s">
        <v>3894</v>
      </c>
      <c r="B712" s="21" t="s">
        <v>3895</v>
      </c>
      <c r="C712" s="21" t="s">
        <v>621</v>
      </c>
      <c r="D712" s="21" t="s">
        <v>621</v>
      </c>
      <c r="E712" s="21" t="s">
        <v>621</v>
      </c>
      <c r="F712" s="21" t="s">
        <v>621</v>
      </c>
      <c r="G712" s="21" t="s">
        <v>621</v>
      </c>
      <c r="H712" s="21" t="s">
        <v>621</v>
      </c>
      <c r="I712" s="21" t="s">
        <v>621</v>
      </c>
      <c r="J712" s="21" t="s">
        <v>621</v>
      </c>
      <c r="K712" s="21" t="s">
        <v>621</v>
      </c>
    </row>
    <row r="713" spans="1:11" x14ac:dyDescent="0.25">
      <c r="A713" s="20" t="s">
        <v>3896</v>
      </c>
      <c r="B713" s="21" t="s">
        <v>3897</v>
      </c>
      <c r="C713" s="21" t="s">
        <v>3898</v>
      </c>
      <c r="D713" s="21" t="s">
        <v>3899</v>
      </c>
      <c r="E713" s="21" t="s">
        <v>621</v>
      </c>
      <c r="F713" s="21" t="s">
        <v>621</v>
      </c>
      <c r="G713" s="21" t="s">
        <v>621</v>
      </c>
      <c r="H713" s="21" t="s">
        <v>621</v>
      </c>
      <c r="I713" s="21" t="s">
        <v>621</v>
      </c>
      <c r="J713" s="21" t="s">
        <v>621</v>
      </c>
      <c r="K713" s="21" t="s">
        <v>621</v>
      </c>
    </row>
    <row r="714" spans="1:11" x14ac:dyDescent="0.25">
      <c r="A714" s="20" t="s">
        <v>3900</v>
      </c>
      <c r="B714" s="21" t="s">
        <v>3893</v>
      </c>
      <c r="C714" s="21" t="s">
        <v>621</v>
      </c>
      <c r="D714" s="21" t="s">
        <v>621</v>
      </c>
      <c r="E714" s="21" t="s">
        <v>621</v>
      </c>
      <c r="F714" s="21" t="s">
        <v>621</v>
      </c>
      <c r="G714" s="21" t="s">
        <v>621</v>
      </c>
      <c r="H714" s="21" t="s">
        <v>621</v>
      </c>
      <c r="I714" s="21" t="s">
        <v>621</v>
      </c>
      <c r="J714" s="21" t="s">
        <v>621</v>
      </c>
      <c r="K714" s="21" t="s">
        <v>621</v>
      </c>
    </row>
    <row r="715" spans="1:11" x14ac:dyDescent="0.25">
      <c r="A715" s="20" t="s">
        <v>3901</v>
      </c>
      <c r="B715" s="21" t="s">
        <v>3893</v>
      </c>
      <c r="C715" s="21" t="s">
        <v>621</v>
      </c>
      <c r="D715" s="21" t="s">
        <v>621</v>
      </c>
      <c r="E715" s="21" t="s">
        <v>621</v>
      </c>
      <c r="F715" s="21" t="s">
        <v>621</v>
      </c>
      <c r="G715" s="21" t="s">
        <v>621</v>
      </c>
      <c r="H715" s="21" t="s">
        <v>621</v>
      </c>
      <c r="I715" s="21" t="s">
        <v>621</v>
      </c>
      <c r="J715" s="21" t="s">
        <v>621</v>
      </c>
      <c r="K715" s="21" t="s">
        <v>621</v>
      </c>
    </row>
    <row r="716" spans="1:11" x14ac:dyDescent="0.25">
      <c r="A716" s="20" t="s">
        <v>3902</v>
      </c>
      <c r="B716" s="21" t="s">
        <v>3903</v>
      </c>
      <c r="C716" s="21" t="s">
        <v>621</v>
      </c>
      <c r="D716" s="21" t="s">
        <v>621</v>
      </c>
      <c r="E716" s="21" t="s">
        <v>621</v>
      </c>
      <c r="F716" s="21" t="s">
        <v>621</v>
      </c>
      <c r="G716" s="21" t="s">
        <v>621</v>
      </c>
      <c r="H716" s="21" t="s">
        <v>621</v>
      </c>
      <c r="I716" s="21" t="s">
        <v>621</v>
      </c>
      <c r="J716" s="21" t="s">
        <v>621</v>
      </c>
      <c r="K716" s="21" t="s">
        <v>621</v>
      </c>
    </row>
    <row r="717" spans="1:11" x14ac:dyDescent="0.25">
      <c r="A717" s="20" t="s">
        <v>3904</v>
      </c>
      <c r="B717" s="21" t="s">
        <v>3905</v>
      </c>
      <c r="C717" s="21" t="s">
        <v>3906</v>
      </c>
      <c r="D717" s="21" t="s">
        <v>621</v>
      </c>
      <c r="E717" s="21" t="s">
        <v>621</v>
      </c>
      <c r="F717" s="21" t="s">
        <v>621</v>
      </c>
      <c r="G717" s="21" t="s">
        <v>621</v>
      </c>
      <c r="H717" s="21" t="s">
        <v>621</v>
      </c>
      <c r="I717" s="21" t="s">
        <v>621</v>
      </c>
      <c r="J717" s="21" t="s">
        <v>621</v>
      </c>
      <c r="K717" s="21" t="s">
        <v>621</v>
      </c>
    </row>
    <row r="718" spans="1:11" x14ac:dyDescent="0.25">
      <c r="A718" s="20" t="s">
        <v>3907</v>
      </c>
      <c r="B718" s="21" t="s">
        <v>3908</v>
      </c>
      <c r="C718" s="21" t="s">
        <v>621</v>
      </c>
      <c r="D718" s="21" t="s">
        <v>621</v>
      </c>
      <c r="E718" s="21" t="s">
        <v>621</v>
      </c>
      <c r="F718" s="21" t="s">
        <v>621</v>
      </c>
      <c r="G718" s="21" t="s">
        <v>621</v>
      </c>
      <c r="H718" s="21" t="s">
        <v>621</v>
      </c>
      <c r="I718" s="21" t="s">
        <v>621</v>
      </c>
      <c r="J718" s="21" t="s">
        <v>621</v>
      </c>
      <c r="K718" s="21" t="s">
        <v>621</v>
      </c>
    </row>
    <row r="719" spans="1:11" x14ac:dyDescent="0.25">
      <c r="A719" s="20" t="s">
        <v>3909</v>
      </c>
      <c r="B719" s="21" t="s">
        <v>3908</v>
      </c>
      <c r="C719" s="21" t="s">
        <v>621</v>
      </c>
      <c r="D719" s="21" t="s">
        <v>621</v>
      </c>
      <c r="E719" s="21" t="s">
        <v>621</v>
      </c>
      <c r="F719" s="21" t="s">
        <v>621</v>
      </c>
      <c r="G719" s="21" t="s">
        <v>621</v>
      </c>
      <c r="H719" s="21" t="s">
        <v>621</v>
      </c>
      <c r="I719" s="21" t="s">
        <v>621</v>
      </c>
      <c r="J719" s="21" t="s">
        <v>621</v>
      </c>
      <c r="K719" s="21" t="s">
        <v>621</v>
      </c>
    </row>
    <row r="720" spans="1:11" x14ac:dyDescent="0.25">
      <c r="A720" s="20" t="s">
        <v>3910</v>
      </c>
      <c r="B720" s="21" t="s">
        <v>3911</v>
      </c>
      <c r="C720" s="21" t="s">
        <v>621</v>
      </c>
      <c r="D720" s="21" t="s">
        <v>621</v>
      </c>
      <c r="E720" s="21" t="s">
        <v>621</v>
      </c>
      <c r="F720" s="21" t="s">
        <v>621</v>
      </c>
      <c r="G720" s="21" t="s">
        <v>621</v>
      </c>
      <c r="H720" s="21" t="s">
        <v>621</v>
      </c>
      <c r="I720" s="21" t="s">
        <v>621</v>
      </c>
      <c r="J720" s="21" t="s">
        <v>621</v>
      </c>
      <c r="K720" s="21" t="s">
        <v>621</v>
      </c>
    </row>
    <row r="721" spans="1:11" x14ac:dyDescent="0.25">
      <c r="A721" s="20" t="s">
        <v>3912</v>
      </c>
      <c r="B721" s="21" t="s">
        <v>3911</v>
      </c>
      <c r="C721" s="21" t="s">
        <v>621</v>
      </c>
      <c r="D721" s="21" t="s">
        <v>621</v>
      </c>
      <c r="E721" s="21" t="s">
        <v>621</v>
      </c>
      <c r="F721" s="21" t="s">
        <v>621</v>
      </c>
      <c r="G721" s="21" t="s">
        <v>621</v>
      </c>
      <c r="H721" s="21" t="s">
        <v>621</v>
      </c>
      <c r="I721" s="21" t="s">
        <v>621</v>
      </c>
      <c r="J721" s="21" t="s">
        <v>621</v>
      </c>
      <c r="K721" s="21" t="s">
        <v>621</v>
      </c>
    </row>
    <row r="722" spans="1:11" x14ac:dyDescent="0.25">
      <c r="A722" s="20" t="s">
        <v>3913</v>
      </c>
      <c r="B722" s="21" t="s">
        <v>3914</v>
      </c>
      <c r="C722" s="21" t="s">
        <v>621</v>
      </c>
      <c r="D722" s="21" t="s">
        <v>621</v>
      </c>
      <c r="E722" s="21" t="s">
        <v>621</v>
      </c>
      <c r="F722" s="21" t="s">
        <v>621</v>
      </c>
      <c r="G722" s="21" t="s">
        <v>621</v>
      </c>
      <c r="H722" s="21" t="s">
        <v>621</v>
      </c>
      <c r="I722" s="21" t="s">
        <v>621</v>
      </c>
      <c r="J722" s="21" t="s">
        <v>621</v>
      </c>
      <c r="K722" s="21" t="s">
        <v>621</v>
      </c>
    </row>
    <row r="723" spans="1:11" x14ac:dyDescent="0.25">
      <c r="A723" s="20" t="s">
        <v>3915</v>
      </c>
      <c r="B723" s="21" t="s">
        <v>3914</v>
      </c>
      <c r="C723" s="21" t="s">
        <v>621</v>
      </c>
      <c r="D723" s="21" t="s">
        <v>621</v>
      </c>
      <c r="E723" s="21" t="s">
        <v>621</v>
      </c>
      <c r="F723" s="21" t="s">
        <v>621</v>
      </c>
      <c r="G723" s="21" t="s">
        <v>621</v>
      </c>
      <c r="H723" s="21" t="s">
        <v>621</v>
      </c>
      <c r="I723" s="21" t="s">
        <v>621</v>
      </c>
      <c r="J723" s="21" t="s">
        <v>621</v>
      </c>
      <c r="K723" s="21" t="s">
        <v>621</v>
      </c>
    </row>
    <row r="724" spans="1:11" x14ac:dyDescent="0.25">
      <c r="A724" s="20" t="s">
        <v>3916</v>
      </c>
      <c r="B724" s="21" t="s">
        <v>3867</v>
      </c>
      <c r="C724" s="21" t="s">
        <v>621</v>
      </c>
      <c r="D724" s="21" t="s">
        <v>621</v>
      </c>
      <c r="E724" s="21" t="s">
        <v>621</v>
      </c>
      <c r="F724" s="21" t="s">
        <v>621</v>
      </c>
      <c r="G724" s="21" t="s">
        <v>621</v>
      </c>
      <c r="H724" s="21" t="s">
        <v>621</v>
      </c>
      <c r="I724" s="21" t="s">
        <v>621</v>
      </c>
      <c r="J724" s="21" t="s">
        <v>621</v>
      </c>
      <c r="K724" s="21" t="s">
        <v>621</v>
      </c>
    </row>
    <row r="725" spans="1:11" x14ac:dyDescent="0.25">
      <c r="A725" s="20" t="s">
        <v>3917</v>
      </c>
      <c r="B725" s="21" t="s">
        <v>3918</v>
      </c>
      <c r="C725" s="21" t="s">
        <v>621</v>
      </c>
      <c r="D725" s="21" t="s">
        <v>621</v>
      </c>
      <c r="E725" s="21" t="s">
        <v>621</v>
      </c>
      <c r="F725" s="21" t="s">
        <v>621</v>
      </c>
      <c r="G725" s="21" t="s">
        <v>621</v>
      </c>
      <c r="H725" s="21" t="s">
        <v>621</v>
      </c>
      <c r="I725" s="21" t="s">
        <v>621</v>
      </c>
      <c r="J725" s="21" t="s">
        <v>621</v>
      </c>
      <c r="K725" s="21" t="s">
        <v>621</v>
      </c>
    </row>
    <row r="726" spans="1:11" x14ac:dyDescent="0.25">
      <c r="A726" s="20" t="s">
        <v>3919</v>
      </c>
      <c r="B726" s="21" t="s">
        <v>3918</v>
      </c>
      <c r="C726" s="21" t="s">
        <v>621</v>
      </c>
      <c r="D726" s="21" t="s">
        <v>621</v>
      </c>
      <c r="E726" s="21" t="s">
        <v>621</v>
      </c>
      <c r="F726" s="21" t="s">
        <v>621</v>
      </c>
      <c r="G726" s="21" t="s">
        <v>621</v>
      </c>
      <c r="H726" s="21" t="s">
        <v>621</v>
      </c>
      <c r="I726" s="21" t="s">
        <v>621</v>
      </c>
      <c r="J726" s="21" t="s">
        <v>621</v>
      </c>
      <c r="K726" s="21" t="s">
        <v>621</v>
      </c>
    </row>
    <row r="727" spans="1:11" x14ac:dyDescent="0.25">
      <c r="A727" s="20" t="s">
        <v>3920</v>
      </c>
      <c r="B727" s="21" t="s">
        <v>2958</v>
      </c>
      <c r="C727" s="21" t="s">
        <v>621</v>
      </c>
      <c r="D727" s="21" t="s">
        <v>621</v>
      </c>
      <c r="E727" s="21" t="s">
        <v>621</v>
      </c>
      <c r="F727" s="21" t="s">
        <v>621</v>
      </c>
      <c r="G727" s="21" t="s">
        <v>621</v>
      </c>
      <c r="H727" s="21" t="s">
        <v>621</v>
      </c>
      <c r="I727" s="21" t="s">
        <v>621</v>
      </c>
      <c r="J727" s="21" t="s">
        <v>621</v>
      </c>
      <c r="K727" s="21" t="s">
        <v>621</v>
      </c>
    </row>
    <row r="728" spans="1:11" x14ac:dyDescent="0.25">
      <c r="A728" s="20" t="s">
        <v>3921</v>
      </c>
      <c r="B728" s="21" t="s">
        <v>3922</v>
      </c>
      <c r="C728" s="21" t="s">
        <v>621</v>
      </c>
      <c r="D728" s="21" t="s">
        <v>621</v>
      </c>
      <c r="E728" s="21" t="s">
        <v>621</v>
      </c>
      <c r="F728" s="21" t="s">
        <v>621</v>
      </c>
      <c r="G728" s="21" t="s">
        <v>621</v>
      </c>
      <c r="H728" s="21" t="s">
        <v>621</v>
      </c>
      <c r="I728" s="21" t="s">
        <v>621</v>
      </c>
      <c r="J728" s="21" t="s">
        <v>621</v>
      </c>
      <c r="K728" s="21" t="s">
        <v>621</v>
      </c>
    </row>
    <row r="729" spans="1:11" x14ac:dyDescent="0.25">
      <c r="A729" s="20" t="s">
        <v>3923</v>
      </c>
      <c r="B729" s="21" t="s">
        <v>3906</v>
      </c>
      <c r="C729" s="21" t="s">
        <v>3905</v>
      </c>
      <c r="D729" s="21" t="s">
        <v>621</v>
      </c>
      <c r="E729" s="21" t="s">
        <v>621</v>
      </c>
      <c r="F729" s="21" t="s">
        <v>621</v>
      </c>
      <c r="G729" s="21" t="s">
        <v>621</v>
      </c>
      <c r="H729" s="21" t="s">
        <v>621</v>
      </c>
      <c r="I729" s="21" t="s">
        <v>621</v>
      </c>
      <c r="J729" s="21" t="s">
        <v>621</v>
      </c>
      <c r="K729" s="21" t="s">
        <v>621</v>
      </c>
    </row>
    <row r="730" spans="1:11" x14ac:dyDescent="0.25">
      <c r="A730" s="20" t="s">
        <v>3924</v>
      </c>
      <c r="B730" s="21" t="s">
        <v>3925</v>
      </c>
      <c r="C730" s="21" t="s">
        <v>621</v>
      </c>
      <c r="D730" s="21" t="s">
        <v>621</v>
      </c>
      <c r="E730" s="21" t="s">
        <v>621</v>
      </c>
      <c r="F730" s="21" t="s">
        <v>621</v>
      </c>
      <c r="G730" s="21" t="s">
        <v>621</v>
      </c>
      <c r="H730" s="21" t="s">
        <v>621</v>
      </c>
      <c r="I730" s="21" t="s">
        <v>621</v>
      </c>
      <c r="J730" s="21" t="s">
        <v>621</v>
      </c>
      <c r="K730" s="21" t="s">
        <v>621</v>
      </c>
    </row>
    <row r="731" spans="1:11" x14ac:dyDescent="0.25">
      <c r="A731" s="20" t="s">
        <v>3926</v>
      </c>
      <c r="B731" s="21" t="s">
        <v>3927</v>
      </c>
      <c r="C731" s="21" t="s">
        <v>3928</v>
      </c>
      <c r="D731" s="21" t="s">
        <v>621</v>
      </c>
      <c r="E731" s="21" t="s">
        <v>621</v>
      </c>
      <c r="F731" s="21" t="s">
        <v>621</v>
      </c>
      <c r="G731" s="21" t="s">
        <v>621</v>
      </c>
      <c r="H731" s="21" t="s">
        <v>621</v>
      </c>
      <c r="I731" s="21" t="s">
        <v>621</v>
      </c>
      <c r="J731" s="21" t="s">
        <v>621</v>
      </c>
      <c r="K731" s="21" t="s">
        <v>621</v>
      </c>
    </row>
    <row r="732" spans="1:11" x14ac:dyDescent="0.25">
      <c r="A732" s="20" t="s">
        <v>3929</v>
      </c>
      <c r="B732" s="21" t="s">
        <v>3927</v>
      </c>
      <c r="C732" s="21" t="s">
        <v>621</v>
      </c>
      <c r="D732" s="21" t="s">
        <v>621</v>
      </c>
      <c r="E732" s="21" t="s">
        <v>621</v>
      </c>
      <c r="F732" s="21" t="s">
        <v>621</v>
      </c>
      <c r="G732" s="21" t="s">
        <v>621</v>
      </c>
      <c r="H732" s="21" t="s">
        <v>621</v>
      </c>
      <c r="I732" s="21" t="s">
        <v>621</v>
      </c>
      <c r="J732" s="21" t="s">
        <v>621</v>
      </c>
      <c r="K732" s="21" t="s">
        <v>621</v>
      </c>
    </row>
    <row r="733" spans="1:11" x14ac:dyDescent="0.25">
      <c r="A733" s="20" t="s">
        <v>3930</v>
      </c>
      <c r="B733" s="21" t="s">
        <v>3928</v>
      </c>
      <c r="C733" s="21" t="s">
        <v>621</v>
      </c>
      <c r="D733" s="21" t="s">
        <v>621</v>
      </c>
      <c r="E733" s="21" t="s">
        <v>621</v>
      </c>
      <c r="F733" s="21" t="s">
        <v>621</v>
      </c>
      <c r="G733" s="21" t="s">
        <v>621</v>
      </c>
      <c r="H733" s="21" t="s">
        <v>621</v>
      </c>
      <c r="I733" s="21" t="s">
        <v>621</v>
      </c>
      <c r="J733" s="21" t="s">
        <v>621</v>
      </c>
      <c r="K733" s="21" t="s">
        <v>621</v>
      </c>
    </row>
    <row r="734" spans="1:11" x14ac:dyDescent="0.25">
      <c r="A734" s="20" t="s">
        <v>3931</v>
      </c>
      <c r="B734" s="21" t="s">
        <v>2948</v>
      </c>
      <c r="C734" s="21" t="s">
        <v>2810</v>
      </c>
      <c r="D734" s="21" t="s">
        <v>2811</v>
      </c>
      <c r="E734" s="21" t="s">
        <v>621</v>
      </c>
      <c r="F734" s="21" t="s">
        <v>621</v>
      </c>
      <c r="G734" s="21" t="s">
        <v>621</v>
      </c>
      <c r="H734" s="21" t="s">
        <v>621</v>
      </c>
      <c r="I734" s="21" t="s">
        <v>621</v>
      </c>
      <c r="J734" s="21" t="s">
        <v>621</v>
      </c>
      <c r="K734" s="21" t="s">
        <v>621</v>
      </c>
    </row>
    <row r="735" spans="1:11" x14ac:dyDescent="0.25">
      <c r="A735" s="20" t="s">
        <v>3932</v>
      </c>
      <c r="B735" s="21" t="s">
        <v>2813</v>
      </c>
      <c r="C735" s="21" t="s">
        <v>2823</v>
      </c>
      <c r="D735" s="21" t="s">
        <v>621</v>
      </c>
      <c r="E735" s="21" t="s">
        <v>621</v>
      </c>
      <c r="F735" s="21" t="s">
        <v>621</v>
      </c>
      <c r="G735" s="21" t="s">
        <v>621</v>
      </c>
      <c r="H735" s="21" t="s">
        <v>621</v>
      </c>
      <c r="I735" s="21" t="s">
        <v>621</v>
      </c>
      <c r="J735" s="21" t="s">
        <v>621</v>
      </c>
      <c r="K735" s="21" t="s">
        <v>621</v>
      </c>
    </row>
    <row r="736" spans="1:11" x14ac:dyDescent="0.25">
      <c r="A736" s="20" t="s">
        <v>3933</v>
      </c>
      <c r="B736" s="21" t="s">
        <v>3359</v>
      </c>
      <c r="C736" s="21" t="s">
        <v>621</v>
      </c>
      <c r="D736" s="21" t="s">
        <v>621</v>
      </c>
      <c r="E736" s="21" t="s">
        <v>621</v>
      </c>
      <c r="F736" s="21" t="s">
        <v>621</v>
      </c>
      <c r="G736" s="21" t="s">
        <v>621</v>
      </c>
      <c r="H736" s="21" t="s">
        <v>621</v>
      </c>
      <c r="I736" s="21" t="s">
        <v>621</v>
      </c>
      <c r="J736" s="21" t="s">
        <v>621</v>
      </c>
      <c r="K736" s="21" t="s">
        <v>621</v>
      </c>
    </row>
    <row r="737" spans="1:11" x14ac:dyDescent="0.25">
      <c r="A737" s="20" t="s">
        <v>3934</v>
      </c>
      <c r="B737" s="21" t="s">
        <v>3935</v>
      </c>
      <c r="C737" s="21" t="s">
        <v>621</v>
      </c>
      <c r="D737" s="21" t="s">
        <v>621</v>
      </c>
      <c r="E737" s="21" t="s">
        <v>621</v>
      </c>
      <c r="F737" s="21" t="s">
        <v>621</v>
      </c>
      <c r="G737" s="21" t="s">
        <v>621</v>
      </c>
      <c r="H737" s="21" t="s">
        <v>621</v>
      </c>
      <c r="I737" s="21" t="s">
        <v>621</v>
      </c>
      <c r="J737" s="21" t="s">
        <v>621</v>
      </c>
      <c r="K737" s="21" t="s">
        <v>621</v>
      </c>
    </row>
    <row r="738" spans="1:11" x14ac:dyDescent="0.25">
      <c r="A738" s="20" t="s">
        <v>3936</v>
      </c>
      <c r="B738" s="21" t="s">
        <v>3935</v>
      </c>
      <c r="C738" s="21" t="s">
        <v>621</v>
      </c>
      <c r="D738" s="21" t="s">
        <v>621</v>
      </c>
      <c r="E738" s="21" t="s">
        <v>621</v>
      </c>
      <c r="F738" s="21" t="s">
        <v>621</v>
      </c>
      <c r="G738" s="21" t="s">
        <v>621</v>
      </c>
      <c r="H738" s="21" t="s">
        <v>621</v>
      </c>
      <c r="I738" s="21" t="s">
        <v>621</v>
      </c>
      <c r="J738" s="21" t="s">
        <v>621</v>
      </c>
      <c r="K738" s="21" t="s">
        <v>621</v>
      </c>
    </row>
    <row r="739" spans="1:11" x14ac:dyDescent="0.25">
      <c r="A739" s="20" t="s">
        <v>3937</v>
      </c>
      <c r="B739" s="21" t="s">
        <v>3938</v>
      </c>
      <c r="C739" s="21" t="s">
        <v>621</v>
      </c>
      <c r="D739" s="21" t="s">
        <v>621</v>
      </c>
      <c r="E739" s="21" t="s">
        <v>621</v>
      </c>
      <c r="F739" s="21" t="s">
        <v>621</v>
      </c>
      <c r="G739" s="21" t="s">
        <v>621</v>
      </c>
      <c r="H739" s="21" t="s">
        <v>621</v>
      </c>
      <c r="I739" s="21" t="s">
        <v>621</v>
      </c>
      <c r="J739" s="21" t="s">
        <v>621</v>
      </c>
      <c r="K739" s="21" t="s">
        <v>621</v>
      </c>
    </row>
    <row r="740" spans="1:11" x14ac:dyDescent="0.25">
      <c r="A740" s="20" t="s">
        <v>3939</v>
      </c>
      <c r="B740" s="21" t="s">
        <v>3938</v>
      </c>
      <c r="C740" s="21" t="s">
        <v>621</v>
      </c>
      <c r="D740" s="21" t="s">
        <v>621</v>
      </c>
      <c r="E740" s="21" t="s">
        <v>621</v>
      </c>
      <c r="F740" s="21" t="s">
        <v>621</v>
      </c>
      <c r="G740" s="21" t="s">
        <v>621</v>
      </c>
      <c r="H740" s="21" t="s">
        <v>621</v>
      </c>
      <c r="I740" s="21" t="s">
        <v>621</v>
      </c>
      <c r="J740" s="21" t="s">
        <v>621</v>
      </c>
      <c r="K740" s="21" t="s">
        <v>621</v>
      </c>
    </row>
    <row r="741" spans="1:11" x14ac:dyDescent="0.25">
      <c r="A741" s="20" t="s">
        <v>3940</v>
      </c>
      <c r="B741" s="21" t="s">
        <v>3941</v>
      </c>
      <c r="C741" s="21" t="s">
        <v>621</v>
      </c>
      <c r="D741" s="21" t="s">
        <v>621</v>
      </c>
      <c r="E741" s="21" t="s">
        <v>621</v>
      </c>
      <c r="F741" s="21" t="s">
        <v>621</v>
      </c>
      <c r="G741" s="21" t="s">
        <v>621</v>
      </c>
      <c r="H741" s="21" t="s">
        <v>621</v>
      </c>
      <c r="I741" s="21" t="s">
        <v>621</v>
      </c>
      <c r="J741" s="21" t="s">
        <v>621</v>
      </c>
      <c r="K741" s="21" t="s">
        <v>621</v>
      </c>
    </row>
    <row r="742" spans="1:11" x14ac:dyDescent="0.25">
      <c r="A742" s="20" t="s">
        <v>3942</v>
      </c>
      <c r="B742" s="21" t="s">
        <v>3522</v>
      </c>
      <c r="C742" s="21" t="s">
        <v>621</v>
      </c>
      <c r="D742" s="21" t="s">
        <v>621</v>
      </c>
      <c r="E742" s="21" t="s">
        <v>621</v>
      </c>
      <c r="F742" s="21" t="s">
        <v>621</v>
      </c>
      <c r="G742" s="21" t="s">
        <v>621</v>
      </c>
      <c r="H742" s="21" t="s">
        <v>621</v>
      </c>
      <c r="I742" s="21" t="s">
        <v>621</v>
      </c>
      <c r="J742" s="21" t="s">
        <v>621</v>
      </c>
      <c r="K742" s="21" t="s">
        <v>621</v>
      </c>
    </row>
    <row r="743" spans="1:11" x14ac:dyDescent="0.25">
      <c r="A743" s="20" t="s">
        <v>3943</v>
      </c>
      <c r="B743" s="21" t="s">
        <v>3944</v>
      </c>
      <c r="C743" s="21" t="s">
        <v>621</v>
      </c>
      <c r="D743" s="21" t="s">
        <v>621</v>
      </c>
      <c r="E743" s="21" t="s">
        <v>621</v>
      </c>
      <c r="F743" s="21" t="s">
        <v>621</v>
      </c>
      <c r="G743" s="21" t="s">
        <v>621</v>
      </c>
      <c r="H743" s="21" t="s">
        <v>621</v>
      </c>
      <c r="I743" s="21" t="s">
        <v>621</v>
      </c>
      <c r="J743" s="21" t="s">
        <v>621</v>
      </c>
      <c r="K743" s="21" t="s">
        <v>621</v>
      </c>
    </row>
    <row r="744" spans="1:11" x14ac:dyDescent="0.25">
      <c r="A744" s="20" t="s">
        <v>3945</v>
      </c>
      <c r="B744" s="21" t="s">
        <v>3946</v>
      </c>
      <c r="C744" s="21" t="s">
        <v>621</v>
      </c>
      <c r="D744" s="21" t="s">
        <v>621</v>
      </c>
      <c r="E744" s="21" t="s">
        <v>621</v>
      </c>
      <c r="F744" s="21" t="s">
        <v>621</v>
      </c>
      <c r="G744" s="21" t="s">
        <v>621</v>
      </c>
      <c r="H744" s="21" t="s">
        <v>621</v>
      </c>
      <c r="I744" s="21" t="s">
        <v>621</v>
      </c>
      <c r="J744" s="21" t="s">
        <v>621</v>
      </c>
      <c r="K744" s="21" t="s">
        <v>621</v>
      </c>
    </row>
    <row r="745" spans="1:11" x14ac:dyDescent="0.25">
      <c r="A745" s="20" t="s">
        <v>3947</v>
      </c>
      <c r="B745" s="21" t="s">
        <v>3536</v>
      </c>
      <c r="C745" s="21" t="s">
        <v>621</v>
      </c>
      <c r="D745" s="21" t="s">
        <v>621</v>
      </c>
      <c r="E745" s="21" t="s">
        <v>621</v>
      </c>
      <c r="F745" s="21" t="s">
        <v>621</v>
      </c>
      <c r="G745" s="21" t="s">
        <v>621</v>
      </c>
      <c r="H745" s="21" t="s">
        <v>621</v>
      </c>
      <c r="I745" s="21" t="s">
        <v>621</v>
      </c>
      <c r="J745" s="21" t="s">
        <v>621</v>
      </c>
      <c r="K745" s="21" t="s">
        <v>621</v>
      </c>
    </row>
    <row r="746" spans="1:11" x14ac:dyDescent="0.25">
      <c r="A746" s="20" t="s">
        <v>3948</v>
      </c>
      <c r="B746" s="21" t="s">
        <v>3949</v>
      </c>
      <c r="C746" s="21" t="s">
        <v>621</v>
      </c>
      <c r="D746" s="21" t="s">
        <v>621</v>
      </c>
      <c r="E746" s="21" t="s">
        <v>621</v>
      </c>
      <c r="F746" s="21" t="s">
        <v>621</v>
      </c>
      <c r="G746" s="21" t="s">
        <v>621</v>
      </c>
      <c r="H746" s="21" t="s">
        <v>621</v>
      </c>
      <c r="I746" s="21" t="s">
        <v>621</v>
      </c>
      <c r="J746" s="21" t="s">
        <v>621</v>
      </c>
      <c r="K746" s="21" t="s">
        <v>621</v>
      </c>
    </row>
    <row r="747" spans="1:11" x14ac:dyDescent="0.25">
      <c r="A747" s="20" t="s">
        <v>3950</v>
      </c>
      <c r="B747" s="21" t="s">
        <v>3946</v>
      </c>
      <c r="C747" s="21" t="s">
        <v>621</v>
      </c>
      <c r="D747" s="21" t="s">
        <v>621</v>
      </c>
      <c r="E747" s="21" t="s">
        <v>621</v>
      </c>
      <c r="F747" s="21" t="s">
        <v>621</v>
      </c>
      <c r="G747" s="21" t="s">
        <v>621</v>
      </c>
      <c r="H747" s="21" t="s">
        <v>621</v>
      </c>
      <c r="I747" s="21" t="s">
        <v>621</v>
      </c>
      <c r="J747" s="21" t="s">
        <v>621</v>
      </c>
      <c r="K747" s="21" t="s">
        <v>621</v>
      </c>
    </row>
    <row r="748" spans="1:11" x14ac:dyDescent="0.25">
      <c r="A748" s="20" t="s">
        <v>2732</v>
      </c>
      <c r="B748" s="21" t="s">
        <v>2733</v>
      </c>
      <c r="C748" s="21" t="s">
        <v>2734</v>
      </c>
      <c r="D748" s="21" t="s">
        <v>2735</v>
      </c>
      <c r="E748" s="21" t="s">
        <v>3065</v>
      </c>
      <c r="F748" s="21" t="s">
        <v>621</v>
      </c>
      <c r="G748" s="21" t="s">
        <v>621</v>
      </c>
      <c r="H748" s="21" t="s">
        <v>621</v>
      </c>
      <c r="I748" s="21" t="s">
        <v>621</v>
      </c>
      <c r="J748" s="21" t="s">
        <v>621</v>
      </c>
      <c r="K748" s="21" t="s">
        <v>621</v>
      </c>
    </row>
    <row r="749" spans="1:11" x14ac:dyDescent="0.25">
      <c r="A749" s="20" t="s">
        <v>2736</v>
      </c>
      <c r="B749" s="21" t="s">
        <v>2737</v>
      </c>
      <c r="C749" s="21" t="s">
        <v>2738</v>
      </c>
      <c r="D749" s="21" t="s">
        <v>3651</v>
      </c>
      <c r="E749" s="21" t="s">
        <v>3064</v>
      </c>
      <c r="F749" s="21" t="s">
        <v>3640</v>
      </c>
      <c r="G749" s="21" t="s">
        <v>621</v>
      </c>
      <c r="H749" s="21" t="s">
        <v>621</v>
      </c>
      <c r="I749" s="21" t="s">
        <v>621</v>
      </c>
      <c r="J749" s="21" t="s">
        <v>621</v>
      </c>
      <c r="K749" s="21" t="s">
        <v>621</v>
      </c>
    </row>
    <row r="750" spans="1:11" x14ac:dyDescent="0.25">
      <c r="A750" s="20" t="s">
        <v>2739</v>
      </c>
      <c r="B750" s="21" t="s">
        <v>2740</v>
      </c>
      <c r="C750" s="21" t="s">
        <v>3951</v>
      </c>
      <c r="D750" s="21" t="s">
        <v>621</v>
      </c>
      <c r="E750" s="21" t="s">
        <v>621</v>
      </c>
      <c r="F750" s="21" t="s">
        <v>621</v>
      </c>
      <c r="G750" s="21" t="s">
        <v>621</v>
      </c>
      <c r="H750" s="21" t="s">
        <v>621</v>
      </c>
      <c r="I750" s="21" t="s">
        <v>621</v>
      </c>
      <c r="J750" s="21" t="s">
        <v>621</v>
      </c>
      <c r="K750" s="21" t="s">
        <v>621</v>
      </c>
    </row>
    <row r="751" spans="1:11" x14ac:dyDescent="0.25">
      <c r="A751" s="20" t="s">
        <v>2741</v>
      </c>
      <c r="B751" s="21" t="s">
        <v>2446</v>
      </c>
      <c r="C751" s="21" t="s">
        <v>2850</v>
      </c>
      <c r="D751" s="21" t="s">
        <v>2849</v>
      </c>
      <c r="E751" s="21" t="s">
        <v>2851</v>
      </c>
      <c r="F751" s="21" t="s">
        <v>621</v>
      </c>
      <c r="G751" s="21" t="s">
        <v>621</v>
      </c>
      <c r="H751" s="21" t="s">
        <v>621</v>
      </c>
      <c r="I751" s="21" t="s">
        <v>621</v>
      </c>
      <c r="J751" s="21" t="s">
        <v>621</v>
      </c>
      <c r="K751" s="21" t="s">
        <v>621</v>
      </c>
    </row>
    <row r="752" spans="1:11" x14ac:dyDescent="0.25">
      <c r="A752" s="20" t="s">
        <v>2742</v>
      </c>
      <c r="B752" s="21" t="s">
        <v>2446</v>
      </c>
      <c r="C752" s="21" t="s">
        <v>3952</v>
      </c>
      <c r="D752" s="21" t="s">
        <v>621</v>
      </c>
      <c r="E752" s="21" t="s">
        <v>621</v>
      </c>
      <c r="F752" s="21" t="s">
        <v>621</v>
      </c>
      <c r="G752" s="21" t="s">
        <v>621</v>
      </c>
      <c r="H752" s="21" t="s">
        <v>621</v>
      </c>
      <c r="I752" s="21" t="s">
        <v>621</v>
      </c>
      <c r="J752" s="21" t="s">
        <v>621</v>
      </c>
      <c r="K752" s="21" t="s">
        <v>621</v>
      </c>
    </row>
    <row r="753" spans="1:11" x14ac:dyDescent="0.25">
      <c r="A753" s="20" t="s">
        <v>3953</v>
      </c>
      <c r="B753" s="21" t="s">
        <v>2853</v>
      </c>
      <c r="C753" s="21" t="s">
        <v>2854</v>
      </c>
      <c r="D753" s="21" t="s">
        <v>3954</v>
      </c>
      <c r="E753" s="21" t="s">
        <v>2855</v>
      </c>
      <c r="F753" s="21" t="s">
        <v>621</v>
      </c>
      <c r="G753" s="21" t="s">
        <v>621</v>
      </c>
      <c r="H753" s="21" t="s">
        <v>621</v>
      </c>
      <c r="I753" s="21" t="s">
        <v>621</v>
      </c>
      <c r="J753" s="21" t="s">
        <v>621</v>
      </c>
      <c r="K753" s="21" t="s">
        <v>621</v>
      </c>
    </row>
    <row r="754" spans="1:11" x14ac:dyDescent="0.25">
      <c r="A754" s="20" t="s">
        <v>3955</v>
      </c>
      <c r="B754" s="21" t="s">
        <v>2853</v>
      </c>
      <c r="C754" s="21" t="s">
        <v>2854</v>
      </c>
      <c r="D754" s="21" t="s">
        <v>3954</v>
      </c>
      <c r="E754" s="21" t="s">
        <v>2855</v>
      </c>
      <c r="F754" s="21" t="s">
        <v>621</v>
      </c>
      <c r="G754" s="21" t="s">
        <v>621</v>
      </c>
      <c r="H754" s="21" t="s">
        <v>621</v>
      </c>
      <c r="I754" s="21" t="s">
        <v>621</v>
      </c>
      <c r="J754" s="21" t="s">
        <v>621</v>
      </c>
      <c r="K754" s="21" t="s">
        <v>621</v>
      </c>
    </row>
    <row r="755" spans="1:11" x14ac:dyDescent="0.25">
      <c r="A755" s="20" t="s">
        <v>2743</v>
      </c>
      <c r="B755" s="21" t="s">
        <v>2450</v>
      </c>
      <c r="C755" s="21" t="s">
        <v>2451</v>
      </c>
      <c r="D755" s="21" t="s">
        <v>2452</v>
      </c>
      <c r="E755" s="21" t="s">
        <v>2453</v>
      </c>
      <c r="F755" s="21" t="s">
        <v>2854</v>
      </c>
      <c r="G755" s="21" t="s">
        <v>2857</v>
      </c>
      <c r="H755" s="21" t="s">
        <v>2858</v>
      </c>
      <c r="I755" s="21" t="s">
        <v>621</v>
      </c>
      <c r="J755" s="21" t="s">
        <v>621</v>
      </c>
      <c r="K755" s="21" t="s">
        <v>621</v>
      </c>
    </row>
    <row r="756" spans="1:11" x14ac:dyDescent="0.25">
      <c r="A756" s="20" t="s">
        <v>2744</v>
      </c>
      <c r="B756" s="21" t="s">
        <v>2446</v>
      </c>
      <c r="C756" s="21" t="s">
        <v>3952</v>
      </c>
      <c r="D756" s="21" t="s">
        <v>621</v>
      </c>
      <c r="E756" s="21" t="s">
        <v>621</v>
      </c>
      <c r="F756" s="21" t="s">
        <v>621</v>
      </c>
      <c r="G756" s="21" t="s">
        <v>621</v>
      </c>
      <c r="H756" s="21" t="s">
        <v>621</v>
      </c>
      <c r="I756" s="21" t="s">
        <v>621</v>
      </c>
      <c r="J756" s="21" t="s">
        <v>621</v>
      </c>
      <c r="K756" s="21" t="s">
        <v>621</v>
      </c>
    </row>
    <row r="757" spans="1:11" x14ac:dyDescent="0.25">
      <c r="A757" s="20" t="s">
        <v>3956</v>
      </c>
      <c r="B757" s="21" t="s">
        <v>3957</v>
      </c>
      <c r="C757" s="21" t="s">
        <v>621</v>
      </c>
      <c r="D757" s="21" t="s">
        <v>621</v>
      </c>
      <c r="E757" s="21" t="s">
        <v>621</v>
      </c>
      <c r="F757" s="21" t="s">
        <v>621</v>
      </c>
      <c r="G757" s="21" t="s">
        <v>621</v>
      </c>
      <c r="H757" s="21" t="s">
        <v>621</v>
      </c>
      <c r="I757" s="21" t="s">
        <v>621</v>
      </c>
      <c r="J757" s="21" t="s">
        <v>621</v>
      </c>
      <c r="K757" s="21" t="s">
        <v>621</v>
      </c>
    </row>
    <row r="758" spans="1:11" x14ac:dyDescent="0.25">
      <c r="A758" s="20" t="s">
        <v>3958</v>
      </c>
      <c r="B758" s="21" t="s">
        <v>3957</v>
      </c>
      <c r="C758" s="21" t="s">
        <v>621</v>
      </c>
      <c r="D758" s="21" t="s">
        <v>621</v>
      </c>
      <c r="E758" s="21" t="s">
        <v>621</v>
      </c>
      <c r="F758" s="21" t="s">
        <v>621</v>
      </c>
      <c r="G758" s="21" t="s">
        <v>621</v>
      </c>
      <c r="H758" s="21" t="s">
        <v>621</v>
      </c>
      <c r="I758" s="21" t="s">
        <v>621</v>
      </c>
      <c r="J758" s="21" t="s">
        <v>621</v>
      </c>
      <c r="K758" s="21" t="s">
        <v>621</v>
      </c>
    </row>
    <row r="759" spans="1:11" x14ac:dyDescent="0.25">
      <c r="A759" s="20" t="s">
        <v>3959</v>
      </c>
      <c r="B759" s="21" t="s">
        <v>3957</v>
      </c>
      <c r="C759" s="21" t="s">
        <v>621</v>
      </c>
      <c r="D759" s="21" t="s">
        <v>621</v>
      </c>
      <c r="E759" s="21" t="s">
        <v>621</v>
      </c>
      <c r="F759" s="21" t="s">
        <v>621</v>
      </c>
      <c r="G759" s="21" t="s">
        <v>621</v>
      </c>
      <c r="H759" s="21" t="s">
        <v>621</v>
      </c>
      <c r="I759" s="21" t="s">
        <v>621</v>
      </c>
      <c r="J759" s="21" t="s">
        <v>621</v>
      </c>
      <c r="K759" s="21" t="s">
        <v>621</v>
      </c>
    </row>
    <row r="760" spans="1:11" x14ac:dyDescent="0.25">
      <c r="A760" s="20" t="s">
        <v>3960</v>
      </c>
      <c r="B760" s="21" t="s">
        <v>3961</v>
      </c>
      <c r="C760" s="21" t="s">
        <v>621</v>
      </c>
      <c r="D760" s="21" t="s">
        <v>621</v>
      </c>
      <c r="E760" s="21" t="s">
        <v>621</v>
      </c>
      <c r="F760" s="21" t="s">
        <v>621</v>
      </c>
      <c r="G760" s="21" t="s">
        <v>621</v>
      </c>
      <c r="H760" s="21" t="s">
        <v>621</v>
      </c>
      <c r="I760" s="21" t="s">
        <v>621</v>
      </c>
      <c r="J760" s="21" t="s">
        <v>621</v>
      </c>
      <c r="K760" s="21" t="s">
        <v>621</v>
      </c>
    </row>
    <row r="761" spans="1:11" x14ac:dyDescent="0.25">
      <c r="A761" s="20" t="s">
        <v>3962</v>
      </c>
      <c r="B761" s="21" t="s">
        <v>3963</v>
      </c>
      <c r="C761" s="21" t="s">
        <v>621</v>
      </c>
      <c r="D761" s="21" t="s">
        <v>621</v>
      </c>
      <c r="E761" s="21" t="s">
        <v>621</v>
      </c>
      <c r="F761" s="21" t="s">
        <v>621</v>
      </c>
      <c r="G761" s="21" t="s">
        <v>621</v>
      </c>
      <c r="H761" s="21" t="s">
        <v>621</v>
      </c>
      <c r="I761" s="21" t="s">
        <v>621</v>
      </c>
      <c r="J761" s="21" t="s">
        <v>621</v>
      </c>
      <c r="K761" s="21" t="s">
        <v>621</v>
      </c>
    </row>
    <row r="762" spans="1:11" x14ac:dyDescent="0.25">
      <c r="A762" s="20" t="s">
        <v>3964</v>
      </c>
      <c r="B762" s="21" t="s">
        <v>3965</v>
      </c>
      <c r="C762" s="21" t="s">
        <v>621</v>
      </c>
      <c r="D762" s="21" t="s">
        <v>621</v>
      </c>
      <c r="E762" s="21" t="s">
        <v>621</v>
      </c>
      <c r="F762" s="21" t="s">
        <v>621</v>
      </c>
      <c r="G762" s="21" t="s">
        <v>621</v>
      </c>
      <c r="H762" s="21" t="s">
        <v>621</v>
      </c>
      <c r="I762" s="21" t="s">
        <v>621</v>
      </c>
      <c r="J762" s="21" t="s">
        <v>621</v>
      </c>
      <c r="K762" s="21" t="s">
        <v>621</v>
      </c>
    </row>
    <row r="763" spans="1:11" x14ac:dyDescent="0.25">
      <c r="A763" s="20" t="s">
        <v>3966</v>
      </c>
      <c r="B763" s="21" t="s">
        <v>3967</v>
      </c>
      <c r="C763" s="21" t="s">
        <v>621</v>
      </c>
      <c r="D763" s="21" t="s">
        <v>621</v>
      </c>
      <c r="E763" s="21" t="s">
        <v>621</v>
      </c>
      <c r="F763" s="21" t="s">
        <v>621</v>
      </c>
      <c r="G763" s="21" t="s">
        <v>621</v>
      </c>
      <c r="H763" s="21" t="s">
        <v>621</v>
      </c>
      <c r="I763" s="21" t="s">
        <v>621</v>
      </c>
      <c r="J763" s="21" t="s">
        <v>621</v>
      </c>
      <c r="K763" s="21" t="s">
        <v>621</v>
      </c>
    </row>
    <row r="764" spans="1:11" x14ac:dyDescent="0.25">
      <c r="A764" s="20" t="s">
        <v>3968</v>
      </c>
      <c r="B764" s="21" t="s">
        <v>3967</v>
      </c>
      <c r="C764" s="21" t="s">
        <v>621</v>
      </c>
      <c r="D764" s="21" t="s">
        <v>621</v>
      </c>
      <c r="E764" s="21" t="s">
        <v>621</v>
      </c>
      <c r="F764" s="21" t="s">
        <v>621</v>
      </c>
      <c r="G764" s="21" t="s">
        <v>621</v>
      </c>
      <c r="H764" s="21" t="s">
        <v>621</v>
      </c>
      <c r="I764" s="21" t="s">
        <v>621</v>
      </c>
      <c r="J764" s="21" t="s">
        <v>621</v>
      </c>
      <c r="K764" s="21" t="s">
        <v>621</v>
      </c>
    </row>
    <row r="765" spans="1:11" x14ac:dyDescent="0.25">
      <c r="A765" s="20" t="s">
        <v>3969</v>
      </c>
      <c r="B765" s="21" t="s">
        <v>3970</v>
      </c>
      <c r="C765" s="21" t="s">
        <v>621</v>
      </c>
      <c r="D765" s="21" t="s">
        <v>621</v>
      </c>
      <c r="E765" s="21" t="s">
        <v>621</v>
      </c>
      <c r="F765" s="21" t="s">
        <v>621</v>
      </c>
      <c r="G765" s="21" t="s">
        <v>621</v>
      </c>
      <c r="H765" s="21" t="s">
        <v>621</v>
      </c>
      <c r="I765" s="21" t="s">
        <v>621</v>
      </c>
      <c r="J765" s="21" t="s">
        <v>621</v>
      </c>
      <c r="K765" s="21" t="s">
        <v>621</v>
      </c>
    </row>
    <row r="766" spans="1:11" x14ac:dyDescent="0.25">
      <c r="A766" s="20" t="s">
        <v>3971</v>
      </c>
      <c r="B766" s="21" t="s">
        <v>3078</v>
      </c>
      <c r="C766" s="21" t="s">
        <v>621</v>
      </c>
      <c r="D766" s="21" t="s">
        <v>621</v>
      </c>
      <c r="E766" s="21" t="s">
        <v>621</v>
      </c>
      <c r="F766" s="21" t="s">
        <v>621</v>
      </c>
      <c r="G766" s="21" t="s">
        <v>621</v>
      </c>
      <c r="H766" s="21" t="s">
        <v>621</v>
      </c>
      <c r="I766" s="21" t="s">
        <v>621</v>
      </c>
      <c r="J766" s="21" t="s">
        <v>621</v>
      </c>
      <c r="K766" s="21" t="s">
        <v>621</v>
      </c>
    </row>
    <row r="767" spans="1:11" x14ac:dyDescent="0.25">
      <c r="A767" s="20" t="s">
        <v>3972</v>
      </c>
      <c r="B767" s="21" t="s">
        <v>3973</v>
      </c>
      <c r="C767" s="21" t="s">
        <v>621</v>
      </c>
      <c r="D767" s="21" t="s">
        <v>621</v>
      </c>
      <c r="E767" s="21" t="s">
        <v>621</v>
      </c>
      <c r="F767" s="21" t="s">
        <v>621</v>
      </c>
      <c r="G767" s="21" t="s">
        <v>621</v>
      </c>
      <c r="H767" s="21" t="s">
        <v>621</v>
      </c>
      <c r="I767" s="21" t="s">
        <v>621</v>
      </c>
      <c r="J767" s="21" t="s">
        <v>621</v>
      </c>
      <c r="K767" s="21" t="s">
        <v>621</v>
      </c>
    </row>
    <row r="768" spans="1:11" x14ac:dyDescent="0.25">
      <c r="A768" s="20" t="s">
        <v>3974</v>
      </c>
      <c r="B768" s="21" t="s">
        <v>3975</v>
      </c>
      <c r="C768" s="21" t="s">
        <v>621</v>
      </c>
      <c r="D768" s="21" t="s">
        <v>621</v>
      </c>
      <c r="E768" s="21" t="s">
        <v>621</v>
      </c>
      <c r="F768" s="21" t="s">
        <v>621</v>
      </c>
      <c r="G768" s="21" t="s">
        <v>621</v>
      </c>
      <c r="H768" s="21" t="s">
        <v>621</v>
      </c>
      <c r="I768" s="21" t="s">
        <v>621</v>
      </c>
      <c r="J768" s="21" t="s">
        <v>621</v>
      </c>
      <c r="K768" s="21" t="s">
        <v>621</v>
      </c>
    </row>
    <row r="769" spans="1:11" x14ac:dyDescent="0.25">
      <c r="A769" s="20" t="s">
        <v>2745</v>
      </c>
      <c r="B769" s="21" t="s">
        <v>2530</v>
      </c>
      <c r="C769" s="21" t="s">
        <v>2531</v>
      </c>
      <c r="D769" s="21" t="s">
        <v>3976</v>
      </c>
      <c r="E769" s="21" t="s">
        <v>3259</v>
      </c>
      <c r="F769" s="21" t="s">
        <v>2988</v>
      </c>
      <c r="G769" s="21" t="s">
        <v>3977</v>
      </c>
      <c r="H769" s="21" t="s">
        <v>621</v>
      </c>
      <c r="I769" s="21" t="s">
        <v>621</v>
      </c>
      <c r="J769" s="21" t="s">
        <v>621</v>
      </c>
      <c r="K769" s="21" t="s">
        <v>621</v>
      </c>
    </row>
    <row r="770" spans="1:11" x14ac:dyDescent="0.25">
      <c r="A770" s="20" t="s">
        <v>2746</v>
      </c>
      <c r="B770" s="21" t="s">
        <v>2612</v>
      </c>
      <c r="C770" s="21" t="s">
        <v>3408</v>
      </c>
      <c r="D770" s="21" t="s">
        <v>3407</v>
      </c>
      <c r="E770" s="21" t="s">
        <v>3978</v>
      </c>
      <c r="F770" s="21" t="s">
        <v>621</v>
      </c>
      <c r="G770" s="21" t="s">
        <v>621</v>
      </c>
      <c r="H770" s="21" t="s">
        <v>621</v>
      </c>
      <c r="I770" s="21" t="s">
        <v>621</v>
      </c>
      <c r="J770" s="21" t="s">
        <v>621</v>
      </c>
      <c r="K770" s="21" t="s">
        <v>621</v>
      </c>
    </row>
    <row r="771" spans="1:11" x14ac:dyDescent="0.25">
      <c r="A771" s="20" t="s">
        <v>2747</v>
      </c>
      <c r="B771" s="21" t="s">
        <v>2614</v>
      </c>
      <c r="C771" s="21" t="s">
        <v>3411</v>
      </c>
      <c r="D771" s="21" t="s">
        <v>3409</v>
      </c>
      <c r="E771" s="21" t="s">
        <v>3410</v>
      </c>
      <c r="F771" s="21" t="s">
        <v>3977</v>
      </c>
      <c r="G771" s="21" t="s">
        <v>3412</v>
      </c>
      <c r="H771" s="21" t="s">
        <v>621</v>
      </c>
      <c r="I771" s="21" t="s">
        <v>621</v>
      </c>
      <c r="J771" s="21" t="s">
        <v>621</v>
      </c>
      <c r="K771" s="21" t="s">
        <v>621</v>
      </c>
    </row>
    <row r="772" spans="1:11" x14ac:dyDescent="0.25">
      <c r="A772" s="20" t="s">
        <v>3979</v>
      </c>
      <c r="B772" s="21" t="s">
        <v>3418</v>
      </c>
      <c r="C772" s="21" t="s">
        <v>3416</v>
      </c>
      <c r="D772" s="21" t="s">
        <v>3417</v>
      </c>
      <c r="E772" s="21" t="s">
        <v>3980</v>
      </c>
      <c r="F772" s="21" t="s">
        <v>3419</v>
      </c>
      <c r="G772" s="21" t="s">
        <v>621</v>
      </c>
      <c r="H772" s="21" t="s">
        <v>621</v>
      </c>
      <c r="I772" s="21" t="s">
        <v>621</v>
      </c>
      <c r="J772" s="21" t="s">
        <v>621</v>
      </c>
      <c r="K772" s="21" t="s">
        <v>621</v>
      </c>
    </row>
    <row r="773" spans="1:11" x14ac:dyDescent="0.25">
      <c r="A773" s="20" t="s">
        <v>3981</v>
      </c>
      <c r="B773" s="21" t="s">
        <v>3976</v>
      </c>
      <c r="C773" s="21" t="s">
        <v>3977</v>
      </c>
      <c r="D773" s="21" t="s">
        <v>621</v>
      </c>
      <c r="E773" s="21" t="s">
        <v>621</v>
      </c>
      <c r="F773" s="21" t="s">
        <v>621</v>
      </c>
      <c r="G773" s="21" t="s">
        <v>621</v>
      </c>
      <c r="H773" s="21" t="s">
        <v>621</v>
      </c>
      <c r="I773" s="21" t="s">
        <v>621</v>
      </c>
      <c r="J773" s="21" t="s">
        <v>621</v>
      </c>
      <c r="K773" s="21" t="s">
        <v>621</v>
      </c>
    </row>
    <row r="774" spans="1:11" x14ac:dyDescent="0.25">
      <c r="A774" s="20" t="s">
        <v>3982</v>
      </c>
      <c r="B774" s="21" t="s">
        <v>3976</v>
      </c>
      <c r="C774" s="21" t="s">
        <v>3977</v>
      </c>
      <c r="D774" s="21" t="s">
        <v>621</v>
      </c>
      <c r="E774" s="21" t="s">
        <v>621</v>
      </c>
      <c r="F774" s="21" t="s">
        <v>621</v>
      </c>
      <c r="G774" s="21" t="s">
        <v>621</v>
      </c>
      <c r="H774" s="21" t="s">
        <v>621</v>
      </c>
      <c r="I774" s="21" t="s">
        <v>621</v>
      </c>
      <c r="J774" s="21" t="s">
        <v>621</v>
      </c>
      <c r="K774" s="21" t="s">
        <v>621</v>
      </c>
    </row>
    <row r="775" spans="1:11" x14ac:dyDescent="0.25">
      <c r="A775" s="20" t="s">
        <v>3983</v>
      </c>
      <c r="B775" s="21" t="s">
        <v>3418</v>
      </c>
      <c r="C775" s="21" t="s">
        <v>3416</v>
      </c>
      <c r="D775" s="21" t="s">
        <v>3980</v>
      </c>
      <c r="E775" s="21" t="s">
        <v>621</v>
      </c>
      <c r="F775" s="21" t="s">
        <v>621</v>
      </c>
      <c r="G775" s="21" t="s">
        <v>621</v>
      </c>
      <c r="H775" s="21" t="s">
        <v>621</v>
      </c>
      <c r="I775" s="21" t="s">
        <v>621</v>
      </c>
      <c r="J775" s="21" t="s">
        <v>621</v>
      </c>
      <c r="K775" s="21" t="s">
        <v>621</v>
      </c>
    </row>
    <row r="776" spans="1:11" x14ac:dyDescent="0.25">
      <c r="A776" s="20" t="s">
        <v>3984</v>
      </c>
      <c r="B776" s="21" t="s">
        <v>3985</v>
      </c>
      <c r="C776" s="21" t="s">
        <v>621</v>
      </c>
      <c r="D776" s="21" t="s">
        <v>621</v>
      </c>
      <c r="E776" s="21" t="s">
        <v>621</v>
      </c>
      <c r="F776" s="21" t="s">
        <v>621</v>
      </c>
      <c r="G776" s="21" t="s">
        <v>621</v>
      </c>
      <c r="H776" s="21" t="s">
        <v>621</v>
      </c>
      <c r="I776" s="21" t="s">
        <v>621</v>
      </c>
      <c r="J776" s="21" t="s">
        <v>621</v>
      </c>
      <c r="K776" s="21" t="s">
        <v>621</v>
      </c>
    </row>
    <row r="777" spans="1:11" x14ac:dyDescent="0.25">
      <c r="A777" s="20" t="s">
        <v>2748</v>
      </c>
      <c r="B777" s="21" t="s">
        <v>2695</v>
      </c>
      <c r="C777" s="21" t="s">
        <v>3986</v>
      </c>
      <c r="D777" s="21" t="s">
        <v>621</v>
      </c>
      <c r="E777" s="21" t="s">
        <v>621</v>
      </c>
      <c r="F777" s="21" t="s">
        <v>621</v>
      </c>
      <c r="G777" s="21" t="s">
        <v>621</v>
      </c>
      <c r="H777" s="21" t="s">
        <v>621</v>
      </c>
      <c r="I777" s="21" t="s">
        <v>621</v>
      </c>
      <c r="J777" s="21" t="s">
        <v>621</v>
      </c>
      <c r="K777" s="21" t="s">
        <v>621</v>
      </c>
    </row>
    <row r="778" spans="1:11" x14ac:dyDescent="0.25">
      <c r="A778" s="20" t="s">
        <v>3987</v>
      </c>
      <c r="B778" s="21" t="s">
        <v>3985</v>
      </c>
      <c r="C778" s="21" t="s">
        <v>621</v>
      </c>
      <c r="D778" s="21" t="s">
        <v>621</v>
      </c>
      <c r="E778" s="21" t="s">
        <v>621</v>
      </c>
      <c r="F778" s="21" t="s">
        <v>621</v>
      </c>
      <c r="G778" s="21" t="s">
        <v>621</v>
      </c>
      <c r="H778" s="21" t="s">
        <v>621</v>
      </c>
      <c r="I778" s="21" t="s">
        <v>621</v>
      </c>
      <c r="J778" s="21" t="s">
        <v>621</v>
      </c>
      <c r="K778" s="21" t="s">
        <v>621</v>
      </c>
    </row>
    <row r="779" spans="1:11" x14ac:dyDescent="0.25">
      <c r="A779" s="20" t="s">
        <v>3988</v>
      </c>
      <c r="B779" s="21" t="s">
        <v>3989</v>
      </c>
      <c r="C779" s="21" t="s">
        <v>621</v>
      </c>
      <c r="D779" s="21" t="s">
        <v>621</v>
      </c>
      <c r="E779" s="21" t="s">
        <v>621</v>
      </c>
      <c r="F779" s="21" t="s">
        <v>621</v>
      </c>
      <c r="G779" s="21" t="s">
        <v>621</v>
      </c>
      <c r="H779" s="21" t="s">
        <v>621</v>
      </c>
      <c r="I779" s="21" t="s">
        <v>621</v>
      </c>
      <c r="J779" s="21" t="s">
        <v>621</v>
      </c>
      <c r="K779" s="21" t="s">
        <v>621</v>
      </c>
    </row>
    <row r="780" spans="1:11" x14ac:dyDescent="0.25">
      <c r="A780" s="20" t="s">
        <v>3990</v>
      </c>
      <c r="B780" s="21" t="s">
        <v>3991</v>
      </c>
      <c r="C780" s="21" t="s">
        <v>621</v>
      </c>
      <c r="D780" s="21" t="s">
        <v>621</v>
      </c>
      <c r="E780" s="21" t="s">
        <v>621</v>
      </c>
      <c r="F780" s="21" t="s">
        <v>621</v>
      </c>
      <c r="G780" s="21" t="s">
        <v>621</v>
      </c>
      <c r="H780" s="21" t="s">
        <v>621</v>
      </c>
      <c r="I780" s="21" t="s">
        <v>621</v>
      </c>
      <c r="J780" s="21" t="s">
        <v>621</v>
      </c>
      <c r="K780" s="21" t="s">
        <v>621</v>
      </c>
    </row>
    <row r="781" spans="1:11" x14ac:dyDescent="0.25">
      <c r="A781" s="20" t="s">
        <v>3992</v>
      </c>
      <c r="B781" s="21" t="s">
        <v>3993</v>
      </c>
      <c r="C781" s="21" t="s">
        <v>621</v>
      </c>
      <c r="D781" s="21" t="s">
        <v>621</v>
      </c>
      <c r="E781" s="21" t="s">
        <v>621</v>
      </c>
      <c r="F781" s="21" t="s">
        <v>621</v>
      </c>
      <c r="G781" s="21" t="s">
        <v>621</v>
      </c>
      <c r="H781" s="21" t="s">
        <v>621</v>
      </c>
      <c r="I781" s="21" t="s">
        <v>621</v>
      </c>
      <c r="J781" s="21" t="s">
        <v>621</v>
      </c>
      <c r="K781" s="21" t="s">
        <v>621</v>
      </c>
    </row>
    <row r="782" spans="1:11" x14ac:dyDescent="0.25">
      <c r="A782" s="20" t="s">
        <v>3994</v>
      </c>
      <c r="B782" s="21" t="s">
        <v>3995</v>
      </c>
      <c r="C782" s="21" t="s">
        <v>621</v>
      </c>
      <c r="D782" s="21" t="s">
        <v>621</v>
      </c>
      <c r="E782" s="21" t="s">
        <v>621</v>
      </c>
      <c r="F782" s="21" t="s">
        <v>621</v>
      </c>
      <c r="G782" s="21" t="s">
        <v>621</v>
      </c>
      <c r="H782" s="21" t="s">
        <v>621</v>
      </c>
      <c r="I782" s="21" t="s">
        <v>621</v>
      </c>
      <c r="J782" s="21" t="s">
        <v>621</v>
      </c>
      <c r="K782" s="21" t="s">
        <v>621</v>
      </c>
    </row>
    <row r="783" spans="1:11" x14ac:dyDescent="0.25">
      <c r="A783" s="20" t="s">
        <v>3996</v>
      </c>
      <c r="B783" s="21" t="s">
        <v>3997</v>
      </c>
      <c r="C783" s="21" t="s">
        <v>621</v>
      </c>
      <c r="D783" s="21" t="s">
        <v>621</v>
      </c>
      <c r="E783" s="21" t="s">
        <v>621</v>
      </c>
      <c r="F783" s="21" t="s">
        <v>621</v>
      </c>
      <c r="G783" s="21" t="s">
        <v>621</v>
      </c>
      <c r="H783" s="21" t="s">
        <v>621</v>
      </c>
      <c r="I783" s="21" t="s">
        <v>621</v>
      </c>
      <c r="J783" s="21" t="s">
        <v>621</v>
      </c>
      <c r="K783" s="21" t="s">
        <v>621</v>
      </c>
    </row>
    <row r="784" spans="1:11" x14ac:dyDescent="0.25">
      <c r="A784" s="20" t="s">
        <v>3998</v>
      </c>
      <c r="B784" s="21" t="s">
        <v>3999</v>
      </c>
      <c r="C784" s="21" t="s">
        <v>621</v>
      </c>
      <c r="D784" s="21" t="s">
        <v>621</v>
      </c>
      <c r="E784" s="21" t="s">
        <v>621</v>
      </c>
      <c r="F784" s="21" t="s">
        <v>621</v>
      </c>
      <c r="G784" s="21" t="s">
        <v>621</v>
      </c>
      <c r="H784" s="21" t="s">
        <v>621</v>
      </c>
      <c r="I784" s="21" t="s">
        <v>621</v>
      </c>
      <c r="J784" s="21" t="s">
        <v>621</v>
      </c>
      <c r="K784" s="21" t="s">
        <v>621</v>
      </c>
    </row>
    <row r="785" spans="1:11" x14ac:dyDescent="0.25">
      <c r="A785" s="20" t="s">
        <v>4000</v>
      </c>
      <c r="B785" s="21" t="s">
        <v>4001</v>
      </c>
      <c r="C785" s="21" t="s">
        <v>621</v>
      </c>
      <c r="D785" s="21" t="s">
        <v>621</v>
      </c>
      <c r="E785" s="21" t="s">
        <v>621</v>
      </c>
      <c r="F785" s="21" t="s">
        <v>621</v>
      </c>
      <c r="G785" s="21" t="s">
        <v>621</v>
      </c>
      <c r="H785" s="21" t="s">
        <v>621</v>
      </c>
      <c r="I785" s="21" t="s">
        <v>621</v>
      </c>
      <c r="J785" s="21" t="s">
        <v>621</v>
      </c>
      <c r="K785" s="21" t="s">
        <v>621</v>
      </c>
    </row>
    <row r="786" spans="1:11" x14ac:dyDescent="0.25">
      <c r="A786" s="20" t="s">
        <v>4002</v>
      </c>
      <c r="B786" s="21" t="s">
        <v>4001</v>
      </c>
      <c r="C786" s="21" t="s">
        <v>621</v>
      </c>
      <c r="D786" s="21" t="s">
        <v>621</v>
      </c>
      <c r="E786" s="21" t="s">
        <v>621</v>
      </c>
      <c r="F786" s="21" t="s">
        <v>621</v>
      </c>
      <c r="G786" s="21" t="s">
        <v>621</v>
      </c>
      <c r="H786" s="21" t="s">
        <v>621</v>
      </c>
      <c r="I786" s="21" t="s">
        <v>621</v>
      </c>
      <c r="J786" s="21" t="s">
        <v>621</v>
      </c>
      <c r="K786" s="21" t="s">
        <v>621</v>
      </c>
    </row>
    <row r="787" spans="1:11" x14ac:dyDescent="0.25">
      <c r="A787" s="20" t="s">
        <v>4003</v>
      </c>
      <c r="B787" s="21" t="s">
        <v>4001</v>
      </c>
      <c r="C787" s="21" t="s">
        <v>621</v>
      </c>
      <c r="D787" s="21" t="s">
        <v>621</v>
      </c>
      <c r="E787" s="21" t="s">
        <v>621</v>
      </c>
      <c r="F787" s="21" t="s">
        <v>621</v>
      </c>
      <c r="G787" s="21" t="s">
        <v>621</v>
      </c>
      <c r="H787" s="21" t="s">
        <v>621</v>
      </c>
      <c r="I787" s="21" t="s">
        <v>621</v>
      </c>
      <c r="J787" s="21" t="s">
        <v>621</v>
      </c>
      <c r="K787" s="21" t="s">
        <v>621</v>
      </c>
    </row>
    <row r="788" spans="1:11" x14ac:dyDescent="0.25">
      <c r="A788" s="20" t="s">
        <v>4004</v>
      </c>
      <c r="B788" s="21" t="s">
        <v>4001</v>
      </c>
      <c r="C788" s="21" t="s">
        <v>621</v>
      </c>
      <c r="D788" s="21" t="s">
        <v>621</v>
      </c>
      <c r="E788" s="21" t="s">
        <v>621</v>
      </c>
      <c r="F788" s="21" t="s">
        <v>621</v>
      </c>
      <c r="G788" s="21" t="s">
        <v>621</v>
      </c>
      <c r="H788" s="21" t="s">
        <v>621</v>
      </c>
      <c r="I788" s="21" t="s">
        <v>621</v>
      </c>
      <c r="J788" s="21" t="s">
        <v>621</v>
      </c>
      <c r="K788" s="21" t="s">
        <v>621</v>
      </c>
    </row>
    <row r="789" spans="1:11" x14ac:dyDescent="0.25">
      <c r="A789" s="20" t="s">
        <v>4005</v>
      </c>
      <c r="B789" s="21" t="s">
        <v>4006</v>
      </c>
      <c r="C789" s="21" t="s">
        <v>621</v>
      </c>
      <c r="D789" s="21" t="s">
        <v>621</v>
      </c>
      <c r="E789" s="21" t="s">
        <v>621</v>
      </c>
      <c r="F789" s="21" t="s">
        <v>621</v>
      </c>
      <c r="G789" s="21" t="s">
        <v>621</v>
      </c>
      <c r="H789" s="21" t="s">
        <v>621</v>
      </c>
      <c r="I789" s="21" t="s">
        <v>621</v>
      </c>
      <c r="J789" s="21" t="s">
        <v>621</v>
      </c>
      <c r="K789" s="21" t="s">
        <v>621</v>
      </c>
    </row>
    <row r="790" spans="1:11" x14ac:dyDescent="0.25">
      <c r="A790" s="20" t="s">
        <v>4007</v>
      </c>
      <c r="B790" s="21" t="s">
        <v>3311</v>
      </c>
      <c r="C790" s="21" t="s">
        <v>3312</v>
      </c>
      <c r="D790" s="21" t="s">
        <v>3419</v>
      </c>
      <c r="E790" s="21" t="s">
        <v>621</v>
      </c>
      <c r="F790" s="21" t="s">
        <v>621</v>
      </c>
      <c r="G790" s="21" t="s">
        <v>621</v>
      </c>
      <c r="H790" s="21" t="s">
        <v>621</v>
      </c>
      <c r="I790" s="21" t="s">
        <v>621</v>
      </c>
      <c r="J790" s="21" t="s">
        <v>621</v>
      </c>
      <c r="K790" s="21" t="s">
        <v>621</v>
      </c>
    </row>
    <row r="791" spans="1:11" x14ac:dyDescent="0.25">
      <c r="A791" s="20" t="s">
        <v>4008</v>
      </c>
      <c r="B791" s="21" t="s">
        <v>3311</v>
      </c>
      <c r="C791" s="21" t="s">
        <v>3312</v>
      </c>
      <c r="D791" s="21" t="s">
        <v>621</v>
      </c>
      <c r="E791" s="21" t="s">
        <v>621</v>
      </c>
      <c r="F791" s="21" t="s">
        <v>621</v>
      </c>
      <c r="G791" s="21" t="s">
        <v>621</v>
      </c>
      <c r="H791" s="21" t="s">
        <v>621</v>
      </c>
      <c r="I791" s="21" t="s">
        <v>621</v>
      </c>
      <c r="J791" s="21" t="s">
        <v>621</v>
      </c>
      <c r="K791" s="21" t="s">
        <v>621</v>
      </c>
    </row>
    <row r="792" spans="1:11" x14ac:dyDescent="0.25">
      <c r="A792" s="20" t="s">
        <v>4009</v>
      </c>
      <c r="B792" s="21" t="s">
        <v>3857</v>
      </c>
      <c r="C792" s="21" t="s">
        <v>621</v>
      </c>
      <c r="D792" s="21" t="s">
        <v>621</v>
      </c>
      <c r="E792" s="21" t="s">
        <v>621</v>
      </c>
      <c r="F792" s="21" t="s">
        <v>621</v>
      </c>
      <c r="G792" s="21" t="s">
        <v>621</v>
      </c>
      <c r="H792" s="21" t="s">
        <v>621</v>
      </c>
      <c r="I792" s="21" t="s">
        <v>621</v>
      </c>
      <c r="J792" s="21" t="s">
        <v>621</v>
      </c>
      <c r="K792" s="21" t="s">
        <v>621</v>
      </c>
    </row>
    <row r="793" spans="1:11" x14ac:dyDescent="0.25">
      <c r="A793" s="20" t="s">
        <v>4010</v>
      </c>
      <c r="B793" s="21" t="s">
        <v>3848</v>
      </c>
      <c r="C793" s="21" t="s">
        <v>3849</v>
      </c>
      <c r="D793" s="21" t="s">
        <v>621</v>
      </c>
      <c r="E793" s="21" t="s">
        <v>621</v>
      </c>
      <c r="F793" s="21" t="s">
        <v>621</v>
      </c>
      <c r="G793" s="21" t="s">
        <v>621</v>
      </c>
      <c r="H793" s="21" t="s">
        <v>621</v>
      </c>
      <c r="I793" s="21" t="s">
        <v>621</v>
      </c>
      <c r="J793" s="21" t="s">
        <v>621</v>
      </c>
      <c r="K793" s="21" t="s">
        <v>621</v>
      </c>
    </row>
    <row r="794" spans="1:11" x14ac:dyDescent="0.25">
      <c r="A794" s="20" t="s">
        <v>4011</v>
      </c>
      <c r="B794" s="21" t="s">
        <v>3110</v>
      </c>
      <c r="C794" s="21" t="s">
        <v>4012</v>
      </c>
      <c r="D794" s="21" t="s">
        <v>621</v>
      </c>
      <c r="E794" s="21" t="s">
        <v>621</v>
      </c>
      <c r="F794" s="21" t="s">
        <v>621</v>
      </c>
      <c r="G794" s="21" t="s">
        <v>621</v>
      </c>
      <c r="H794" s="21" t="s">
        <v>621</v>
      </c>
      <c r="I794" s="21" t="s">
        <v>621</v>
      </c>
      <c r="J794" s="21" t="s">
        <v>621</v>
      </c>
      <c r="K794" s="21" t="s">
        <v>621</v>
      </c>
    </row>
    <row r="795" spans="1:11" x14ac:dyDescent="0.25">
      <c r="A795" s="20" t="s">
        <v>4013</v>
      </c>
      <c r="B795" s="21" t="s">
        <v>3852</v>
      </c>
      <c r="C795" s="21" t="s">
        <v>621</v>
      </c>
      <c r="D795" s="21" t="s">
        <v>621</v>
      </c>
      <c r="E795" s="21" t="s">
        <v>621</v>
      </c>
      <c r="F795" s="21" t="s">
        <v>621</v>
      </c>
      <c r="G795" s="21" t="s">
        <v>621</v>
      </c>
      <c r="H795" s="21" t="s">
        <v>621</v>
      </c>
      <c r="I795" s="21" t="s">
        <v>621</v>
      </c>
      <c r="J795" s="21" t="s">
        <v>621</v>
      </c>
      <c r="K795" s="21" t="s">
        <v>621</v>
      </c>
    </row>
    <row r="796" spans="1:11" x14ac:dyDescent="0.25">
      <c r="A796" s="20" t="s">
        <v>4014</v>
      </c>
      <c r="B796" s="21" t="s">
        <v>3852</v>
      </c>
      <c r="C796" s="21" t="s">
        <v>621</v>
      </c>
      <c r="D796" s="21" t="s">
        <v>621</v>
      </c>
      <c r="E796" s="21" t="s">
        <v>621</v>
      </c>
      <c r="F796" s="21" t="s">
        <v>621</v>
      </c>
      <c r="G796" s="21" t="s">
        <v>621</v>
      </c>
      <c r="H796" s="21" t="s">
        <v>621</v>
      </c>
      <c r="I796" s="21" t="s">
        <v>621</v>
      </c>
      <c r="J796" s="21" t="s">
        <v>621</v>
      </c>
      <c r="K796" s="21" t="s">
        <v>621</v>
      </c>
    </row>
    <row r="797" spans="1:11" x14ac:dyDescent="0.25">
      <c r="A797" s="20" t="s">
        <v>4015</v>
      </c>
      <c r="B797" s="21" t="s">
        <v>3855</v>
      </c>
      <c r="C797" s="21" t="s">
        <v>621</v>
      </c>
      <c r="D797" s="21" t="s">
        <v>621</v>
      </c>
      <c r="E797" s="21" t="s">
        <v>621</v>
      </c>
      <c r="F797" s="21" t="s">
        <v>621</v>
      </c>
      <c r="G797" s="21" t="s">
        <v>621</v>
      </c>
      <c r="H797" s="21" t="s">
        <v>621</v>
      </c>
      <c r="I797" s="21" t="s">
        <v>621</v>
      </c>
      <c r="J797" s="21" t="s">
        <v>621</v>
      </c>
      <c r="K797" s="21" t="s">
        <v>621</v>
      </c>
    </row>
    <row r="798" spans="1:11" x14ac:dyDescent="0.25">
      <c r="A798" s="20" t="s">
        <v>2749</v>
      </c>
      <c r="B798" s="21" t="s">
        <v>2522</v>
      </c>
      <c r="C798" s="21" t="s">
        <v>621</v>
      </c>
      <c r="D798" s="21" t="s">
        <v>621</v>
      </c>
      <c r="E798" s="21" t="s">
        <v>621</v>
      </c>
      <c r="F798" s="21" t="s">
        <v>621</v>
      </c>
      <c r="G798" s="21" t="s">
        <v>621</v>
      </c>
      <c r="H798" s="21" t="s">
        <v>621</v>
      </c>
      <c r="I798" s="21" t="s">
        <v>621</v>
      </c>
      <c r="J798" s="21" t="s">
        <v>621</v>
      </c>
      <c r="K798" s="21" t="s">
        <v>621</v>
      </c>
    </row>
    <row r="799" spans="1:11" x14ac:dyDescent="0.25">
      <c r="A799" s="20" t="s">
        <v>4016</v>
      </c>
      <c r="B799" s="21" t="s">
        <v>3687</v>
      </c>
      <c r="C799" s="21" t="s">
        <v>3688</v>
      </c>
      <c r="D799" s="21" t="s">
        <v>621</v>
      </c>
      <c r="E799" s="21" t="s">
        <v>621</v>
      </c>
      <c r="F799" s="21" t="s">
        <v>621</v>
      </c>
      <c r="G799" s="21" t="s">
        <v>621</v>
      </c>
      <c r="H799" s="21" t="s">
        <v>621</v>
      </c>
      <c r="I799" s="21" t="s">
        <v>621</v>
      </c>
      <c r="J799" s="21" t="s">
        <v>621</v>
      </c>
      <c r="K799" s="21" t="s">
        <v>621</v>
      </c>
    </row>
    <row r="800" spans="1:11" x14ac:dyDescent="0.25">
      <c r="A800" s="20" t="s">
        <v>4017</v>
      </c>
      <c r="B800" s="21" t="s">
        <v>3690</v>
      </c>
      <c r="C800" s="21" t="s">
        <v>3691</v>
      </c>
      <c r="D800" s="21" t="s">
        <v>621</v>
      </c>
      <c r="E800" s="21" t="s">
        <v>621</v>
      </c>
      <c r="F800" s="21" t="s">
        <v>621</v>
      </c>
      <c r="G800" s="21" t="s">
        <v>621</v>
      </c>
      <c r="H800" s="21" t="s">
        <v>621</v>
      </c>
      <c r="I800" s="21" t="s">
        <v>621</v>
      </c>
      <c r="J800" s="21" t="s">
        <v>621</v>
      </c>
      <c r="K800" s="21" t="s">
        <v>621</v>
      </c>
    </row>
    <row r="801" spans="1:11" x14ac:dyDescent="0.25">
      <c r="A801" s="20" t="s">
        <v>4018</v>
      </c>
      <c r="B801" s="21" t="s">
        <v>4019</v>
      </c>
      <c r="C801" s="21" t="s">
        <v>621</v>
      </c>
      <c r="D801" s="21" t="s">
        <v>621</v>
      </c>
      <c r="E801" s="21" t="s">
        <v>621</v>
      </c>
      <c r="F801" s="21" t="s">
        <v>621</v>
      </c>
      <c r="G801" s="21" t="s">
        <v>621</v>
      </c>
      <c r="H801" s="21" t="s">
        <v>621</v>
      </c>
      <c r="I801" s="21" t="s">
        <v>621</v>
      </c>
      <c r="J801" s="21" t="s">
        <v>621</v>
      </c>
      <c r="K801" s="21" t="s">
        <v>621</v>
      </c>
    </row>
    <row r="802" spans="1:11" x14ac:dyDescent="0.25">
      <c r="A802" s="20" t="s">
        <v>2750</v>
      </c>
      <c r="B802" s="21" t="s">
        <v>2751</v>
      </c>
      <c r="C802" s="21" t="s">
        <v>621</v>
      </c>
      <c r="D802" s="21" t="s">
        <v>621</v>
      </c>
      <c r="E802" s="21" t="s">
        <v>621</v>
      </c>
      <c r="F802" s="21" t="s">
        <v>621</v>
      </c>
      <c r="G802" s="21" t="s">
        <v>621</v>
      </c>
      <c r="H802" s="21" t="s">
        <v>621</v>
      </c>
      <c r="I802" s="21" t="s">
        <v>621</v>
      </c>
      <c r="J802" s="21" t="s">
        <v>621</v>
      </c>
      <c r="K802" s="21" t="s">
        <v>621</v>
      </c>
    </row>
    <row r="803" spans="1:11" x14ac:dyDescent="0.25">
      <c r="A803" s="20" t="s">
        <v>4020</v>
      </c>
      <c r="B803" s="21" t="s">
        <v>3693</v>
      </c>
      <c r="C803" s="21" t="s">
        <v>3694</v>
      </c>
      <c r="D803" s="21" t="s">
        <v>621</v>
      </c>
      <c r="E803" s="21" t="s">
        <v>621</v>
      </c>
      <c r="F803" s="21" t="s">
        <v>621</v>
      </c>
      <c r="G803" s="21" t="s">
        <v>621</v>
      </c>
      <c r="H803" s="21" t="s">
        <v>621</v>
      </c>
      <c r="I803" s="21" t="s">
        <v>621</v>
      </c>
      <c r="J803" s="21" t="s">
        <v>621</v>
      </c>
      <c r="K803" s="21" t="s">
        <v>621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981</vt:i4>
      </vt:variant>
    </vt:vector>
  </HeadingPairs>
  <TitlesOfParts>
    <vt:vector size="989" baseType="lpstr">
      <vt:lpstr>FORMULARIO</vt:lpstr>
      <vt:lpstr>ESTIMAR</vt:lpstr>
      <vt:lpstr>DESESTIMAR</vt:lpstr>
      <vt:lpstr>ACUSE</vt:lpstr>
      <vt:lpstr>Alumnado</vt:lpstr>
      <vt:lpstr>T_Títulos</vt:lpstr>
      <vt:lpstr>RD_(Módulos)</vt:lpstr>
      <vt:lpstr>RD_M(CV)</vt:lpstr>
      <vt:lpstr>Medio</vt:lpstr>
      <vt:lpstr>RD_1071_2012</vt:lpstr>
      <vt:lpstr>RD_1072_2012</vt:lpstr>
      <vt:lpstr>RD_1073_2012</vt:lpstr>
      <vt:lpstr>RD_1074_2012</vt:lpstr>
      <vt:lpstr>RD_1075_2012</vt:lpstr>
      <vt:lpstr>RD_109_2022</vt:lpstr>
      <vt:lpstr>RD_1127_2010</vt:lpstr>
      <vt:lpstr>RD_1128_2010</vt:lpstr>
      <vt:lpstr>RD_1129_2010</vt:lpstr>
      <vt:lpstr>RD_113_2017</vt:lpstr>
      <vt:lpstr>RD_114_2017</vt:lpstr>
      <vt:lpstr>RD_1144_2012</vt:lpstr>
      <vt:lpstr>RD_1145_2012</vt:lpstr>
      <vt:lpstr>RD_1153_2021</vt:lpstr>
      <vt:lpstr>RD_1161_2001</vt:lpstr>
      <vt:lpstr>RD_1177_2008</vt:lpstr>
      <vt:lpstr>RD_1254_2009</vt:lpstr>
      <vt:lpstr>RD_1255_2009</vt:lpstr>
      <vt:lpstr>RD_1394_2007</vt:lpstr>
      <vt:lpstr>RD_1395_2007</vt:lpstr>
      <vt:lpstr>RD_1396_2007</vt:lpstr>
      <vt:lpstr>RD_1397_2007</vt:lpstr>
      <vt:lpstr>RD_1398_2007</vt:lpstr>
      <vt:lpstr>RD_1399_2007</vt:lpstr>
      <vt:lpstr>RD_143_2024</vt:lpstr>
      <vt:lpstr>RD_144_2024</vt:lpstr>
      <vt:lpstr>RD_1444_2018</vt:lpstr>
      <vt:lpstr>RD_1445_2018</vt:lpstr>
      <vt:lpstr>RD_1446_2018</vt:lpstr>
      <vt:lpstr>RD_1447_2018</vt:lpstr>
      <vt:lpstr>RD_1448_2018</vt:lpstr>
      <vt:lpstr>RD_1571_2011</vt:lpstr>
      <vt:lpstr>RD_1572_2011</vt:lpstr>
      <vt:lpstr>RD_1573_2011</vt:lpstr>
      <vt:lpstr>RD_1574_2011</vt:lpstr>
      <vt:lpstr>RD_1575_2011</vt:lpstr>
      <vt:lpstr>RD_1576_2011</vt:lpstr>
      <vt:lpstr>RD_1577_2011</vt:lpstr>
      <vt:lpstr>RD_1578_2011</vt:lpstr>
      <vt:lpstr>RD_1579_2011</vt:lpstr>
      <vt:lpstr>RD_1580_2011</vt:lpstr>
      <vt:lpstr>RD_1581_2011</vt:lpstr>
      <vt:lpstr>RD_1582_2011</vt:lpstr>
      <vt:lpstr>RD_1583_2011</vt:lpstr>
      <vt:lpstr>RD_1584_2011</vt:lpstr>
      <vt:lpstr>RD_1585_2011</vt:lpstr>
      <vt:lpstr>RD_1585_2012</vt:lpstr>
      <vt:lpstr>RD_1586_2011</vt:lpstr>
      <vt:lpstr>RD_1587_2011</vt:lpstr>
      <vt:lpstr>RD_1588_2011</vt:lpstr>
      <vt:lpstr>RD_1589_2011</vt:lpstr>
      <vt:lpstr>RD_1590_2011</vt:lpstr>
      <vt:lpstr>RD_1591_2011</vt:lpstr>
      <vt:lpstr>RD_1592_2011</vt:lpstr>
      <vt:lpstr>RD_1593_2011</vt:lpstr>
      <vt:lpstr>RD_1629_2009</vt:lpstr>
      <vt:lpstr>RD_1630_2009</vt:lpstr>
      <vt:lpstr>RD_1631_2009</vt:lpstr>
      <vt:lpstr>RD_1632_2009</vt:lpstr>
      <vt:lpstr>RD_1633_2009</vt:lpstr>
      <vt:lpstr>RD_1634_2009</vt:lpstr>
      <vt:lpstr>RD_1679_2011</vt:lpstr>
      <vt:lpstr>RD_1680_2011</vt:lpstr>
      <vt:lpstr>RD_1681_2011</vt:lpstr>
      <vt:lpstr>RD_1682_2011</vt:lpstr>
      <vt:lpstr>RD_1683_2011</vt:lpstr>
      <vt:lpstr>RD_1684_2011</vt:lpstr>
      <vt:lpstr>RD_1685_2007</vt:lpstr>
      <vt:lpstr>RD_1685_2011</vt:lpstr>
      <vt:lpstr>RD_1686_2007</vt:lpstr>
      <vt:lpstr>RD_1686_2011</vt:lpstr>
      <vt:lpstr>RD_1687_2007</vt:lpstr>
      <vt:lpstr>RD_1687_2011</vt:lpstr>
      <vt:lpstr>RD_1688_2007</vt:lpstr>
      <vt:lpstr>RD_1688_2011</vt:lpstr>
      <vt:lpstr>RD_1689_2007</vt:lpstr>
      <vt:lpstr>RD_1689_2011</vt:lpstr>
      <vt:lpstr>RD_1690_2007</vt:lpstr>
      <vt:lpstr>RD_1690_2011</vt:lpstr>
      <vt:lpstr>RD_1691_2007</vt:lpstr>
      <vt:lpstr>RD_1691_2011</vt:lpstr>
      <vt:lpstr>RD_1692_2007</vt:lpstr>
      <vt:lpstr>RD_174_2008</vt:lpstr>
      <vt:lpstr>RD_174_2013</vt:lpstr>
      <vt:lpstr>RD_174_2021</vt:lpstr>
      <vt:lpstr>RD_175_2008</vt:lpstr>
      <vt:lpstr>RD_175_2013</vt:lpstr>
      <vt:lpstr>RD_175_2021</vt:lpstr>
      <vt:lpstr>RD_176_2008</vt:lpstr>
      <vt:lpstr>RD_176_2021</vt:lpstr>
      <vt:lpstr>RD_177_2008</vt:lpstr>
      <vt:lpstr>RD_178_2008</vt:lpstr>
      <vt:lpstr>RD_1792_2010</vt:lpstr>
      <vt:lpstr>RD_1793_2010</vt:lpstr>
      <vt:lpstr>RD_1796_2008</vt:lpstr>
      <vt:lpstr>RD_1797_2008</vt:lpstr>
      <vt:lpstr>RD_1798_2008</vt:lpstr>
      <vt:lpstr>RD_189_2018</vt:lpstr>
      <vt:lpstr>RD_206_2022</vt:lpstr>
      <vt:lpstr>RD_219_2008</vt:lpstr>
      <vt:lpstr>RD_220_2008</vt:lpstr>
      <vt:lpstr>RD_254_2011</vt:lpstr>
      <vt:lpstr>RD_255_2011</vt:lpstr>
      <vt:lpstr>RD_256_2011</vt:lpstr>
      <vt:lpstr>RD_257_2011</vt:lpstr>
      <vt:lpstr>RD_258_2011</vt:lpstr>
      <vt:lpstr>RD_259_2011</vt:lpstr>
      <vt:lpstr>RD_260_2011</vt:lpstr>
      <vt:lpstr>RD_261_2021</vt:lpstr>
      <vt:lpstr>RD_262_2021</vt:lpstr>
      <vt:lpstr>RD_263_2021</vt:lpstr>
      <vt:lpstr>RD_279_2021</vt:lpstr>
      <vt:lpstr>RD_280_2021</vt:lpstr>
      <vt:lpstr>RD_281_2021</vt:lpstr>
      <vt:lpstr>RD_283_2019</vt:lpstr>
      <vt:lpstr>RD_370_2001</vt:lpstr>
      <vt:lpstr>RD_384_2011</vt:lpstr>
      <vt:lpstr>RD_385_2011</vt:lpstr>
      <vt:lpstr>RD_386_2011</vt:lpstr>
      <vt:lpstr>RD_387_2011</vt:lpstr>
      <vt:lpstr>RD_393_2022</vt:lpstr>
      <vt:lpstr>RD_402_2020</vt:lpstr>
      <vt:lpstr>RD_450_2010</vt:lpstr>
      <vt:lpstr>RD_451_2010</vt:lpstr>
      <vt:lpstr>RD_452_2010</vt:lpstr>
      <vt:lpstr>RD_453_2010</vt:lpstr>
      <vt:lpstr>RD_454_2010</vt:lpstr>
      <vt:lpstr>RD_478_2020</vt:lpstr>
      <vt:lpstr>RD_479_2020</vt:lpstr>
      <vt:lpstr>RD_480_2020</vt:lpstr>
      <vt:lpstr>RD_481_2020</vt:lpstr>
      <vt:lpstr>RD_482_2020</vt:lpstr>
      <vt:lpstr>RD_498_2003</vt:lpstr>
      <vt:lpstr>RD_536_1995</vt:lpstr>
      <vt:lpstr>RD_546_1995</vt:lpstr>
      <vt:lpstr>RD_553_2012</vt:lpstr>
      <vt:lpstr>RD_554_2012</vt:lpstr>
      <vt:lpstr>RD_555_2012</vt:lpstr>
      <vt:lpstr>RD_556_2012</vt:lpstr>
      <vt:lpstr>RD_570_2023</vt:lpstr>
      <vt:lpstr>RD_636_2015</vt:lpstr>
      <vt:lpstr>RD_651_2017</vt:lpstr>
      <vt:lpstr>RD_652_2017</vt:lpstr>
      <vt:lpstr>RD_653_2017</vt:lpstr>
      <vt:lpstr>RD_686_2010</vt:lpstr>
      <vt:lpstr>RD_687_2010</vt:lpstr>
      <vt:lpstr>RD_688_2010</vt:lpstr>
      <vt:lpstr>RD_689_2010</vt:lpstr>
      <vt:lpstr>RD_690_2010</vt:lpstr>
      <vt:lpstr>RD_699_2019</vt:lpstr>
      <vt:lpstr>RD_74_2018</vt:lpstr>
      <vt:lpstr>RD_767_2014</vt:lpstr>
      <vt:lpstr>RD_768_2014</vt:lpstr>
      <vt:lpstr>RD_769_2014</vt:lpstr>
      <vt:lpstr>RD_770_2014</vt:lpstr>
      <vt:lpstr>RD_771_2014</vt:lpstr>
      <vt:lpstr>RD_772_2014</vt:lpstr>
      <vt:lpstr>RD_779_2013</vt:lpstr>
      <vt:lpstr>RD_831_2014</vt:lpstr>
      <vt:lpstr>RD_832_2014</vt:lpstr>
      <vt:lpstr>RD_838_2015</vt:lpstr>
      <vt:lpstr>RD_838_2020</vt:lpstr>
      <vt:lpstr>RD_880_2011</vt:lpstr>
      <vt:lpstr>RD_881_2011</vt:lpstr>
      <vt:lpstr>RD_882_2011</vt:lpstr>
      <vt:lpstr>RD_883_2011</vt:lpstr>
      <vt:lpstr>RD_90_2018</vt:lpstr>
      <vt:lpstr>RD_904_2022</vt:lpstr>
      <vt:lpstr>RD_905_2013</vt:lpstr>
      <vt:lpstr>RD_906_2013</vt:lpstr>
      <vt:lpstr>RD_907_2013</vt:lpstr>
      <vt:lpstr>RD_91_2018</vt:lpstr>
      <vt:lpstr>RD_921_2022</vt:lpstr>
      <vt:lpstr>RD_93_2019</vt:lpstr>
      <vt:lpstr>RD_94_2019</vt:lpstr>
      <vt:lpstr>RD_954_2008</vt:lpstr>
      <vt:lpstr>RD_955_2008</vt:lpstr>
      <vt:lpstr>RD_M_1071_2012_0404</vt:lpstr>
      <vt:lpstr>RD_M_1071_2012_0409</vt:lpstr>
      <vt:lpstr>RD_M_1071_2012_0479</vt:lpstr>
      <vt:lpstr>RD_M_1071_2012_0832</vt:lpstr>
      <vt:lpstr>RD_M_1071_2012_0833</vt:lpstr>
      <vt:lpstr>RD_M_1071_2012_0834</vt:lpstr>
      <vt:lpstr>RD_M_1071_2012_0835</vt:lpstr>
      <vt:lpstr>RD_M_1071_2012_0836</vt:lpstr>
      <vt:lpstr>RD_M_1071_2012_0837</vt:lpstr>
      <vt:lpstr>RD_M_1071_2012_0838</vt:lpstr>
      <vt:lpstr>RD_M_1072_2012_1032</vt:lpstr>
      <vt:lpstr>RD_M_1072_2012_1033</vt:lpstr>
      <vt:lpstr>RD_M_1072_2012_1172</vt:lpstr>
      <vt:lpstr>RD_M_1072_2012_1173</vt:lpstr>
      <vt:lpstr>RD_M_1072_2012_1174</vt:lpstr>
      <vt:lpstr>RD_M_1072_2012_1175</vt:lpstr>
      <vt:lpstr>RD_M_1072_2012_1176</vt:lpstr>
      <vt:lpstr>RD_M_1072_2012_1177</vt:lpstr>
      <vt:lpstr>RD_M_1073_2012_0758</vt:lpstr>
      <vt:lpstr>RD_M_1073_2012_0759</vt:lpstr>
      <vt:lpstr>RD_M_1073_2012_0760</vt:lpstr>
      <vt:lpstr>RD_M_1073_2012_0761</vt:lpstr>
      <vt:lpstr>RD_M_1073_2012_0762</vt:lpstr>
      <vt:lpstr>RD_M_1073_2012_0764</vt:lpstr>
      <vt:lpstr>RD_M_1073_2012_0765</vt:lpstr>
      <vt:lpstr>RD_M_1074_2012_0017</vt:lpstr>
      <vt:lpstr>RD_M_1074_2012_0337</vt:lpstr>
      <vt:lpstr>RD_M_1074_2012_0338</vt:lpstr>
      <vt:lpstr>RD_M_1074_2012_0339</vt:lpstr>
      <vt:lpstr>RD_M_1074_2012_0342</vt:lpstr>
      <vt:lpstr>RD_M_1074_2012_0343</vt:lpstr>
      <vt:lpstr>RD_M_1074_2012_0344</vt:lpstr>
      <vt:lpstr>RD_M_1075_2012_0800</vt:lpstr>
      <vt:lpstr>RD_M_1075_2012_0802</vt:lpstr>
      <vt:lpstr>RD_M_1075_2012_1308</vt:lpstr>
      <vt:lpstr>RD_M_1075_2012_1309</vt:lpstr>
      <vt:lpstr>RD_M_1075_2012_1310</vt:lpstr>
      <vt:lpstr>RD_M_1075_2012_1311</vt:lpstr>
      <vt:lpstr>RD_M_1075_2012_1312</vt:lpstr>
      <vt:lpstr>RD_M_1075_2012_1313</vt:lpstr>
      <vt:lpstr>RD_M_1127_2010_0517</vt:lpstr>
      <vt:lpstr>RD_M_1127_2010_0519</vt:lpstr>
      <vt:lpstr>RD_M_1127_2010_0522</vt:lpstr>
      <vt:lpstr>RD_M_1127_2010_0523</vt:lpstr>
      <vt:lpstr>RD_M_1127_2010_0524</vt:lpstr>
      <vt:lpstr>RD_M_1128_2010_0538</vt:lpstr>
      <vt:lpstr>RD_M_1128_2010_0539</vt:lpstr>
      <vt:lpstr>RD_M_1128_2010_0540</vt:lpstr>
      <vt:lpstr>RD_M_1128_2010_0541</vt:lpstr>
      <vt:lpstr>RD_M_1128_2010_0542</vt:lpstr>
      <vt:lpstr>RD_M_1128_2010_0543</vt:lpstr>
      <vt:lpstr>RD_M_1128_2010_0544</vt:lpstr>
      <vt:lpstr>RD_M_1128_2010_0545</vt:lpstr>
      <vt:lpstr>RD_M_1128_2010_0546</vt:lpstr>
      <vt:lpstr>RD_M_1128_2010_0547</vt:lpstr>
      <vt:lpstr>RD_M_1129_2010_0404</vt:lpstr>
      <vt:lpstr>RD_M_1129_2010_0407</vt:lpstr>
      <vt:lpstr>RD_M_1129_2010_0408</vt:lpstr>
      <vt:lpstr>RD_M_1129_2010_0409</vt:lpstr>
      <vt:lpstr>RD_M_1129_2010_0479</vt:lpstr>
      <vt:lpstr>RD_M_1129_2010_0576</vt:lpstr>
      <vt:lpstr>RD_M_1129_2010_0577</vt:lpstr>
      <vt:lpstr>RD_M_1129_2010_0578</vt:lpstr>
      <vt:lpstr>RD_M_1129_2010_0579</vt:lpstr>
      <vt:lpstr>RD_M_1129_2010_0581</vt:lpstr>
      <vt:lpstr>RD_M_113_2017_1572</vt:lpstr>
      <vt:lpstr>RD_M_113_2017_1576</vt:lpstr>
      <vt:lpstr>RD_M_113_2017_1577</vt:lpstr>
      <vt:lpstr>RD_M_113_2017_1580</vt:lpstr>
      <vt:lpstr>RD_M_114_2017_0310</vt:lpstr>
      <vt:lpstr>RD_M_114_2017_1559</vt:lpstr>
      <vt:lpstr>RD_M_114_2017_1561</vt:lpstr>
      <vt:lpstr>RD_M_114_2017_1562</vt:lpstr>
      <vt:lpstr>RD_M_114_2017_1564</vt:lpstr>
      <vt:lpstr>RD_M_114_2017_1566</vt:lpstr>
      <vt:lpstr>RD_M_1144_2012_1027</vt:lpstr>
      <vt:lpstr>RD_M_1144_2012_1029</vt:lpstr>
      <vt:lpstr>RD_M_1144_2012_1030</vt:lpstr>
      <vt:lpstr>RD_M_1144_2012_1032</vt:lpstr>
      <vt:lpstr>RD_M_1144_2012_1033</vt:lpstr>
      <vt:lpstr>RD_M_1144_2012_1034</vt:lpstr>
      <vt:lpstr>RD_M_1144_2012_1035</vt:lpstr>
      <vt:lpstr>RD_M_1144_2012_1036</vt:lpstr>
      <vt:lpstr>RD_M_1145_2012_0260</vt:lpstr>
      <vt:lpstr>RD_M_1145_2012_0452</vt:lpstr>
      <vt:lpstr>RD_M_1145_2012_0742</vt:lpstr>
      <vt:lpstr>RD_M_1145_2012_0975</vt:lpstr>
      <vt:lpstr>RD_M_1177_2008_0121</vt:lpstr>
      <vt:lpstr>RD_M_1177_2008_0122</vt:lpstr>
      <vt:lpstr>RD_M_1177_2008_0123</vt:lpstr>
      <vt:lpstr>RD_M_1177_2008_0350</vt:lpstr>
      <vt:lpstr>RD_M_1254_2009_0171</vt:lpstr>
      <vt:lpstr>RD_M_1254_2009_0172</vt:lpstr>
      <vt:lpstr>RD_M_1254_2009_0173</vt:lpstr>
      <vt:lpstr>RD_M_1254_2009_0397</vt:lpstr>
      <vt:lpstr>RD_M_1254_2009_0398</vt:lpstr>
      <vt:lpstr>RD_M_1254_2009_0399</vt:lpstr>
      <vt:lpstr>RD_M_1254_2009_0402</vt:lpstr>
      <vt:lpstr>RD_M_1255_2009_0171</vt:lpstr>
      <vt:lpstr>RD_M_1255_2009_0172</vt:lpstr>
      <vt:lpstr>RD_M_1255_2009_0173</vt:lpstr>
      <vt:lpstr>RD_M_1255_2009_0383</vt:lpstr>
      <vt:lpstr>RD_M_1255_2009_0384</vt:lpstr>
      <vt:lpstr>RD_M_1255_2009_0385</vt:lpstr>
      <vt:lpstr>RD_M_1255_2009_0386</vt:lpstr>
      <vt:lpstr>RD_M_1255_2009_0387</vt:lpstr>
      <vt:lpstr>RD_M_1394_2007_0011</vt:lpstr>
      <vt:lpstr>RD_M_1394_2007_0012</vt:lpstr>
      <vt:lpstr>RD_M_1394_2007_0013</vt:lpstr>
      <vt:lpstr>RD_M_1394_2007_0014</vt:lpstr>
      <vt:lpstr>RD_M_1394_2007_0015</vt:lpstr>
      <vt:lpstr>RD_M_1394_2007_0016</vt:lpstr>
      <vt:lpstr>RD_M_1394_2007_0017</vt:lpstr>
      <vt:lpstr>RD_M_1395_2007_0065</vt:lpstr>
      <vt:lpstr>RD_M_1395_2007_0066</vt:lpstr>
      <vt:lpstr>RD_M_1395_2007_0067</vt:lpstr>
      <vt:lpstr>RD_M_1395_2007_0068</vt:lpstr>
      <vt:lpstr>RD_M_1395_2007_0069</vt:lpstr>
      <vt:lpstr>RD_M_1395_2007_0070</vt:lpstr>
      <vt:lpstr>RD_M_1395_2007_0072</vt:lpstr>
      <vt:lpstr>RD_M_1396_2007_0026</vt:lpstr>
      <vt:lpstr>RD_M_1396_2007_0028</vt:lpstr>
      <vt:lpstr>RD_M_1396_2007_0045</vt:lpstr>
      <vt:lpstr>RD_M_1396_2007_0046</vt:lpstr>
      <vt:lpstr>RD_M_1396_2007_0047</vt:lpstr>
      <vt:lpstr>RD_M_1396_2007_0048</vt:lpstr>
      <vt:lpstr>RD_M_1397_2007_0052</vt:lpstr>
      <vt:lpstr>RD_M_1398_2007_0001</vt:lpstr>
      <vt:lpstr>RD_M_1398_2007_0002</vt:lpstr>
      <vt:lpstr>RD_M_1398_2007_0003</vt:lpstr>
      <vt:lpstr>RD_M_1398_2007_0004</vt:lpstr>
      <vt:lpstr>RD_M_1398_2007_0005</vt:lpstr>
      <vt:lpstr>RD_M_1398_2007_0006</vt:lpstr>
      <vt:lpstr>RD_M_1398_2007_0007</vt:lpstr>
      <vt:lpstr>RD_M_1399_2007_0024</vt:lpstr>
      <vt:lpstr>RD_M_1399_2007_0025</vt:lpstr>
      <vt:lpstr>RD_M_1399_2007_0026</vt:lpstr>
      <vt:lpstr>RD_M_1399_2007_0027</vt:lpstr>
      <vt:lpstr>RD_M_1399_2007_0028</vt:lpstr>
      <vt:lpstr>RD_M_1399_2007_0029</vt:lpstr>
      <vt:lpstr>RD_M_1399_2007_0030</vt:lpstr>
      <vt:lpstr>RD_M_1399_2007_0031</vt:lpstr>
      <vt:lpstr>RD_M_1399_2007_0032</vt:lpstr>
      <vt:lpstr>RD_M_1571_2011_0623</vt:lpstr>
      <vt:lpstr>RD_M_1571_2011_0930</vt:lpstr>
      <vt:lpstr>RD_M_1571_2011_1008</vt:lpstr>
      <vt:lpstr>RD_M_1571_2011_1109</vt:lpstr>
      <vt:lpstr>RD_M_1571_2011_1110</vt:lpstr>
      <vt:lpstr>RD_M_1572_2011_0622</vt:lpstr>
      <vt:lpstr>RD_M_1572_2011_0623</vt:lpstr>
      <vt:lpstr>RD_M_1572_2011_0624</vt:lpstr>
      <vt:lpstr>RD_M_1572_2011_0625</vt:lpstr>
      <vt:lpstr>RD_M_1572_2011_0626</vt:lpstr>
      <vt:lpstr>RD_M_1572_2011_0627</vt:lpstr>
      <vt:lpstr>RD_M_1572_2011_0628</vt:lpstr>
      <vt:lpstr>RD_M_1572_2011_0629</vt:lpstr>
      <vt:lpstr>RD_M_1573_2011_0623</vt:lpstr>
      <vt:lpstr>RD_M_1573_2011_0625</vt:lpstr>
      <vt:lpstr>RD_M_1573_2011_0626</vt:lpstr>
      <vt:lpstr>RD_M_1573_2011_0930</vt:lpstr>
      <vt:lpstr>RD_M_1573_2011_1010</vt:lpstr>
      <vt:lpstr>RD_M_1574_2011_0622</vt:lpstr>
      <vt:lpstr>RD_M_1574_2011_0623</vt:lpstr>
      <vt:lpstr>RD_M_1574_2011_0625</vt:lpstr>
      <vt:lpstr>RD_M_1574_2011_0627</vt:lpstr>
      <vt:lpstr>RD_M_1574_2011_0823</vt:lpstr>
      <vt:lpstr>RD_M_1574_2011_0824</vt:lpstr>
      <vt:lpstr>RD_M_1574_2011_0825</vt:lpstr>
      <vt:lpstr>RD_M_1574_2011_0826</vt:lpstr>
      <vt:lpstr>RD_M_1575_2011_0996</vt:lpstr>
      <vt:lpstr>RD_M_1575_2011_0997</vt:lpstr>
      <vt:lpstr>RD_M_1575_2011_0998</vt:lpstr>
      <vt:lpstr>RD_M_1575_2011_0999</vt:lpstr>
      <vt:lpstr>RD_M_1575_2011_1000</vt:lpstr>
      <vt:lpstr>RD_M_1575_2011_1001</vt:lpstr>
      <vt:lpstr>RD_M_1575_2011_1002</vt:lpstr>
      <vt:lpstr>RD_M_1575_2011_1003</vt:lpstr>
      <vt:lpstr>RD_M_1575_2011_1004</vt:lpstr>
      <vt:lpstr>RD_M_1575_2011_1005</vt:lpstr>
      <vt:lpstr>RD_M_1576_2011_0935</vt:lpstr>
      <vt:lpstr>RD_M_1576_2011_0936</vt:lpstr>
      <vt:lpstr>RD_M_1576_2011_0937</vt:lpstr>
      <vt:lpstr>RD_M_1576_2011_0938</vt:lpstr>
      <vt:lpstr>RD_M_1576_2011_0939</vt:lpstr>
      <vt:lpstr>RD_M_1576_2011_0940</vt:lpstr>
      <vt:lpstr>RD_M_1576_2011_0941</vt:lpstr>
      <vt:lpstr>RD_M_1576_2011_0942</vt:lpstr>
      <vt:lpstr>RD_M_1576_2011_0944</vt:lpstr>
      <vt:lpstr>RD_M_1577_2011_0750</vt:lpstr>
      <vt:lpstr>RD_M_1578_2011_1051</vt:lpstr>
      <vt:lpstr>RD_M_1578_2011_1052</vt:lpstr>
      <vt:lpstr>RD_M_1578_2011_1058</vt:lpstr>
      <vt:lpstr>RD_M_1578_2011_1059</vt:lpstr>
      <vt:lpstr>RD_M_1579_2011_0982</vt:lpstr>
      <vt:lpstr>RD_M_1579_2011_0983</vt:lpstr>
      <vt:lpstr>RD_M_1579_2011_0984</vt:lpstr>
      <vt:lpstr>RD_M_1579_2011_0985</vt:lpstr>
      <vt:lpstr>RD_M_1579_2011_0986</vt:lpstr>
      <vt:lpstr>RD_M_1579_2011_0987</vt:lpstr>
      <vt:lpstr>RD_M_1579_2011_0988</vt:lpstr>
      <vt:lpstr>RD_M_1579_2011_0990</vt:lpstr>
      <vt:lpstr>RD_M_1580_2011_0281</vt:lpstr>
      <vt:lpstr>RD_M_1580_2011_0282</vt:lpstr>
      <vt:lpstr>RD_M_1580_2011_0283</vt:lpstr>
      <vt:lpstr>RD_M_1580_2011_0444</vt:lpstr>
      <vt:lpstr>RD_M_1581_2011_0959</vt:lpstr>
      <vt:lpstr>RD_M_1581_2011_0960</vt:lpstr>
      <vt:lpstr>RD_M_1581_2011_0961</vt:lpstr>
      <vt:lpstr>RD_M_1581_2011_0962</vt:lpstr>
      <vt:lpstr>RD_M_1581_2011_0963</vt:lpstr>
      <vt:lpstr>RD_M_1581_2011_0964</vt:lpstr>
      <vt:lpstr>RD_M_1581_2011_0965</vt:lpstr>
      <vt:lpstr>RD_M_1581_2011_0967</vt:lpstr>
      <vt:lpstr>RD_M_1581_2011_0968</vt:lpstr>
      <vt:lpstr>RD_M_1582_2011_0647</vt:lpstr>
      <vt:lpstr>RD_M_1582_2011_0649</vt:lpstr>
      <vt:lpstr>RD_M_1582_2011_0651</vt:lpstr>
      <vt:lpstr>RD_M_1582_2011_0652</vt:lpstr>
      <vt:lpstr>RD_M_1582_2011_0653</vt:lpstr>
      <vt:lpstr>RD_M_1582_2011_0661</vt:lpstr>
      <vt:lpstr>RD_M_1582_2011_0662</vt:lpstr>
      <vt:lpstr>RD_M_1583_2011_1090</vt:lpstr>
      <vt:lpstr>RD_M_1584_2011_0647</vt:lpstr>
      <vt:lpstr>RD_M_1584_2011_0649</vt:lpstr>
      <vt:lpstr>RD_M_1584_2011_0651</vt:lpstr>
      <vt:lpstr>RD_M_1584_2011_0652</vt:lpstr>
      <vt:lpstr>RD_M_1584_2011_0653</vt:lpstr>
      <vt:lpstr>RD_M_1584_2011_0654</vt:lpstr>
      <vt:lpstr>RD_M_1584_2011_0655</vt:lpstr>
      <vt:lpstr>RD_M_1584_2011_0656</vt:lpstr>
      <vt:lpstr>RD_M_1585_2011_1015</vt:lpstr>
      <vt:lpstr>RD_M_1585_2011_1016</vt:lpstr>
      <vt:lpstr>RD_M_1585_2011_1017</vt:lpstr>
      <vt:lpstr>RD_M_1585_2011_1018</vt:lpstr>
      <vt:lpstr>RD_M_1585_2011_1019</vt:lpstr>
      <vt:lpstr>RD_M_1585_2011_1021</vt:lpstr>
      <vt:lpstr>RD_M_1585_2012_1274</vt:lpstr>
      <vt:lpstr>RD_M_1585_2012_1275</vt:lpstr>
      <vt:lpstr>RD_M_1585_2012_1278</vt:lpstr>
      <vt:lpstr>RD_M_1586_2011_0866</vt:lpstr>
      <vt:lpstr>RD_M_1586_2011_0867</vt:lpstr>
      <vt:lpstr>RD_M_1586_2011_0870</vt:lpstr>
      <vt:lpstr>RD_M_1586_2011_0871</vt:lpstr>
      <vt:lpstr>RD_M_1586_2011_0873</vt:lpstr>
      <vt:lpstr>RD_M_1588_2011_0636</vt:lpstr>
      <vt:lpstr>RD_M_1588_2011_0640</vt:lpstr>
      <vt:lpstr>RD_M_1588_2011_0643</vt:lpstr>
      <vt:lpstr>RD_M_1588_2011_0842</vt:lpstr>
      <vt:lpstr>RD_M_1588_2011_0843</vt:lpstr>
      <vt:lpstr>RD_M_1588_2011_0844</vt:lpstr>
      <vt:lpstr>RD_M_1588_2011_0845</vt:lpstr>
      <vt:lpstr>RD_M_1588_2011_0846</vt:lpstr>
      <vt:lpstr>RD_M_1588_2011_0849</vt:lpstr>
      <vt:lpstr>RD_M_1589_2011_0949</vt:lpstr>
      <vt:lpstr>RD_M_1589_2011_0950</vt:lpstr>
      <vt:lpstr>RD_M_1589_2011_0951</vt:lpstr>
      <vt:lpstr>RD_M_1589_2011_0952</vt:lpstr>
      <vt:lpstr>RD_M_1589_2011_0953</vt:lpstr>
      <vt:lpstr>RD_M_1589_2011_0954</vt:lpstr>
      <vt:lpstr>RD_M_1589_2011_0955</vt:lpstr>
      <vt:lpstr>RD_M_1590_2011_0877</vt:lpstr>
      <vt:lpstr>RD_M_1590_2011_0878</vt:lpstr>
      <vt:lpstr>RD_M_1590_2011_0882</vt:lpstr>
      <vt:lpstr>RD_M_1591_2011_0116</vt:lpstr>
      <vt:lpstr>RD_M_1591_2011_0275</vt:lpstr>
      <vt:lpstr>RD_M_1591_2011_1040</vt:lpstr>
      <vt:lpstr>RD_M_1591_2011_1041</vt:lpstr>
      <vt:lpstr>RD_M_1591_2011_1042</vt:lpstr>
      <vt:lpstr>RD_M_1591_2011_1043</vt:lpstr>
      <vt:lpstr>RD_M_1591_2011_1044</vt:lpstr>
      <vt:lpstr>RD_M_1591_2011_1045</vt:lpstr>
      <vt:lpstr>RD_M_1591_2011_1046</vt:lpstr>
      <vt:lpstr>RD_M_1591_2011_1047</vt:lpstr>
      <vt:lpstr>RD_M_1593_2011_0210</vt:lpstr>
      <vt:lpstr>RD_M_1593_2011_0211</vt:lpstr>
      <vt:lpstr>RD_M_1593_2011_0212</vt:lpstr>
      <vt:lpstr>RD_M_1593_2011_0213</vt:lpstr>
      <vt:lpstr>RD_M_1593_2011_0214</vt:lpstr>
      <vt:lpstr>RD_M_1593_2011_0215</vt:lpstr>
      <vt:lpstr>RD_M_1593_2011_0216</vt:lpstr>
      <vt:lpstr>RD_M_1593_2011_0217</vt:lpstr>
      <vt:lpstr>RD_M_1629_2009_0369</vt:lpstr>
      <vt:lpstr>RD_M_1629_2009_0370</vt:lpstr>
      <vt:lpstr>RD_M_1629_2009_0371</vt:lpstr>
      <vt:lpstr>RD_M_1629_2009_0372</vt:lpstr>
      <vt:lpstr>RD_M_1629_2009_0377</vt:lpstr>
      <vt:lpstr>RD_M_1630_2009_0245</vt:lpstr>
      <vt:lpstr>RD_M_1630_2009_0427</vt:lpstr>
      <vt:lpstr>RD_M_1630_2009_0428</vt:lpstr>
      <vt:lpstr>RD_M_1630_2009_0429</vt:lpstr>
      <vt:lpstr>RD_M_1630_2009_0431</vt:lpstr>
      <vt:lpstr>RD_M_1630_2009_0432</vt:lpstr>
      <vt:lpstr>RD_M_1631_2009_0437</vt:lpstr>
      <vt:lpstr>RD_M_1631_2009_0438</vt:lpstr>
      <vt:lpstr>RD_M_1631_2009_0439</vt:lpstr>
      <vt:lpstr>RD_M_1631_2009_0440</vt:lpstr>
      <vt:lpstr>RD_M_1631_2009_0441</vt:lpstr>
      <vt:lpstr>RD_M_1631_2009_0442</vt:lpstr>
      <vt:lpstr>RD_M_1631_2009_0443</vt:lpstr>
      <vt:lpstr>RD_M_1631_2009_0448</vt:lpstr>
      <vt:lpstr>RD_M_1632_2009_0237</vt:lpstr>
      <vt:lpstr>RD_M_1632_2009_0238</vt:lpstr>
      <vt:lpstr>RD_M_1632_2009_0359</vt:lpstr>
      <vt:lpstr>RD_M_1632_2009_0360</vt:lpstr>
      <vt:lpstr>RD_M_1632_2009_0361</vt:lpstr>
      <vt:lpstr>RD_M_1632_2009_0362</vt:lpstr>
      <vt:lpstr>RD_M_1633_2009_0404</vt:lpstr>
      <vt:lpstr>RD_M_1633_2009_0407</vt:lpstr>
      <vt:lpstr>RD_M_1633_2009_0408</vt:lpstr>
      <vt:lpstr>RD_M_1633_2009_0413</vt:lpstr>
      <vt:lpstr>RD_M_1634_2009_0404</vt:lpstr>
      <vt:lpstr>RD_M_1634_2009_0405</vt:lpstr>
      <vt:lpstr>RD_M_1634_2009_0408</vt:lpstr>
      <vt:lpstr>RD_M_1634_2009_0409</vt:lpstr>
      <vt:lpstr>RD_M_1634_2009_0475</vt:lpstr>
      <vt:lpstr>RD_M_1634_2009_0476</vt:lpstr>
      <vt:lpstr>RD_M_1634_2009_0477</vt:lpstr>
      <vt:lpstr>RD_M_1634_2009_0478</vt:lpstr>
      <vt:lpstr>RD_M_1634_2009_0479</vt:lpstr>
      <vt:lpstr>RD_M_1679_2011_0276</vt:lpstr>
      <vt:lpstr>RD_M_1680_2011_0902</vt:lpstr>
      <vt:lpstr>RD_M_1680_2011_0903</vt:lpstr>
      <vt:lpstr>RD_M_1680_2011_0904</vt:lpstr>
      <vt:lpstr>RD_M_1680_2011_0905</vt:lpstr>
      <vt:lpstr>RD_M_1680_2011_0906</vt:lpstr>
      <vt:lpstr>RD_M_1680_2011_0907</vt:lpstr>
      <vt:lpstr>RD_M_1681_2011_0910</vt:lpstr>
      <vt:lpstr>RD_M_1681_2011_0915</vt:lpstr>
      <vt:lpstr>RD_M_1681_2011_0916</vt:lpstr>
      <vt:lpstr>RD_M_1681_2011_0917</vt:lpstr>
      <vt:lpstr>RD_M_1681_2011_0918</vt:lpstr>
      <vt:lpstr>RD_M_1681_2011_0919</vt:lpstr>
      <vt:lpstr>RD_M_1681_2011_0920</vt:lpstr>
      <vt:lpstr>RD_M_1681_2011_0921</vt:lpstr>
      <vt:lpstr>RD_M_1682_2011_1098</vt:lpstr>
      <vt:lpstr>RD_M_1682_2011_1100</vt:lpstr>
      <vt:lpstr>RD_M_1682_2011_1101</vt:lpstr>
      <vt:lpstr>RD_M_1682_2011_1102</vt:lpstr>
      <vt:lpstr>RD_M_1682_2011_1104</vt:lpstr>
      <vt:lpstr>RD_M_1683_2011_1214</vt:lpstr>
      <vt:lpstr>RD_M_1683_2011_1217</vt:lpstr>
      <vt:lpstr>RD_M_1684_2011_0344</vt:lpstr>
      <vt:lpstr>RD_M_1684_2011_1123</vt:lpstr>
      <vt:lpstr>RD_M_1684_2011_1124</vt:lpstr>
      <vt:lpstr>RD_M_1684_2011_1125</vt:lpstr>
      <vt:lpstr>RD_M_1684_2011_1126</vt:lpstr>
      <vt:lpstr>RD_M_1684_2011_1128</vt:lpstr>
      <vt:lpstr>RD_M_1685_2007_0199</vt:lpstr>
      <vt:lpstr>RD_M_1685_2007_0200</vt:lpstr>
      <vt:lpstr>RD_M_1685_2007_0201</vt:lpstr>
      <vt:lpstr>RD_M_1685_2007_0202</vt:lpstr>
      <vt:lpstr>RD_M_1685_2007_0203</vt:lpstr>
      <vt:lpstr>RD_M_1685_2011_1182</vt:lpstr>
      <vt:lpstr>RD_M_1685_2011_1183</vt:lpstr>
      <vt:lpstr>RD_M_1685_2011_1184</vt:lpstr>
      <vt:lpstr>RD_M_1685_2011_1185</vt:lpstr>
      <vt:lpstr>RD_M_1685_2011_1186</vt:lpstr>
      <vt:lpstr>RD_M_1685_2011_1187</vt:lpstr>
      <vt:lpstr>RD_M_1685_2011_1188</vt:lpstr>
      <vt:lpstr>RD_M_1686_2007_0171</vt:lpstr>
      <vt:lpstr>RD_M_1686_2007_0172</vt:lpstr>
      <vt:lpstr>RD_M_1686_2007_0173</vt:lpstr>
      <vt:lpstr>RD_M_1686_2007_0174</vt:lpstr>
      <vt:lpstr>RD_M_1686_2007_0175</vt:lpstr>
      <vt:lpstr>RD_M_1686_2007_0176</vt:lpstr>
      <vt:lpstr>RD_M_1686_2007_0177</vt:lpstr>
      <vt:lpstr>RD_M_1686_2011_1158</vt:lpstr>
      <vt:lpstr>RD_M_1686_2011_1159</vt:lpstr>
      <vt:lpstr>RD_M_1686_2011_1160</vt:lpstr>
      <vt:lpstr>RD_M_1686_2011_1161</vt:lpstr>
      <vt:lpstr>RD_M_1686_2011_1162</vt:lpstr>
      <vt:lpstr>RD_M_1686_2011_1163</vt:lpstr>
      <vt:lpstr>RD_M_1686_2011_1164</vt:lpstr>
      <vt:lpstr>RD_M_1686_2011_1165</vt:lpstr>
      <vt:lpstr>RD_M_1686_2011_1167</vt:lpstr>
      <vt:lpstr>RD_M_1687_2007_0002</vt:lpstr>
      <vt:lpstr>RD_M_1687_2007_0007</vt:lpstr>
      <vt:lpstr>RD_M_1687_2007_0160</vt:lpstr>
      <vt:lpstr>RD_M_1687_2007_0161</vt:lpstr>
      <vt:lpstr>RD_M_1687_2007_0162</vt:lpstr>
      <vt:lpstr>RD_M_1687_2007_0163</vt:lpstr>
      <vt:lpstr>RD_M_1687_2007_0164</vt:lpstr>
      <vt:lpstr>RD_M_1687_2007_0165</vt:lpstr>
      <vt:lpstr>RD_M_1687_2007_0166</vt:lpstr>
      <vt:lpstr>RD_M_1687_2011_0821</vt:lpstr>
      <vt:lpstr>RD_M_1687_2011_0854</vt:lpstr>
      <vt:lpstr>RD_M_1687_2011_0855</vt:lpstr>
      <vt:lpstr>RD_M_1687_2011_0856</vt:lpstr>
      <vt:lpstr>RD_M_1687_2011_0857</vt:lpstr>
      <vt:lpstr>RD_M_1687_2011_0858</vt:lpstr>
      <vt:lpstr>RD_M_1687_2011_0859</vt:lpstr>
      <vt:lpstr>RD_M_1687_2011_0860</vt:lpstr>
      <vt:lpstr>RD_M_1687_2011_0863</vt:lpstr>
      <vt:lpstr>RD_M_1688_2007_0081</vt:lpstr>
      <vt:lpstr>RD_M_1688_2007_0084</vt:lpstr>
      <vt:lpstr>RD_M_1688_2007_0086</vt:lpstr>
      <vt:lpstr>RD_M_1688_2011_1227</vt:lpstr>
      <vt:lpstr>RD_M_1688_2011_1228</vt:lpstr>
      <vt:lpstr>RD_M_1688_2011_1231</vt:lpstr>
      <vt:lpstr>RD_M_1688_2011_1232</vt:lpstr>
      <vt:lpstr>RD_M_1688_2011_1234</vt:lpstr>
      <vt:lpstr>RD_M_1689_2007_0020</vt:lpstr>
      <vt:lpstr>RD_M_1689_2007_0100</vt:lpstr>
      <vt:lpstr>RD_M_1689_2007_0101</vt:lpstr>
      <vt:lpstr>RD_M_1689_2007_0102</vt:lpstr>
      <vt:lpstr>RD_M_1689_2007_0103</vt:lpstr>
      <vt:lpstr>RD_M_1689_2007_0104</vt:lpstr>
      <vt:lpstr>RD_M_1689_2007_0105</vt:lpstr>
      <vt:lpstr>RD_M_1689_2011_0996</vt:lpstr>
      <vt:lpstr>RD_M_1689_2011_1194</vt:lpstr>
      <vt:lpstr>RD_M_1689_2011_1195</vt:lpstr>
      <vt:lpstr>RD_M_1689_2011_1198</vt:lpstr>
      <vt:lpstr>RD_M_1689_2011_1199</vt:lpstr>
      <vt:lpstr>RD_M_1689_2011_1200</vt:lpstr>
      <vt:lpstr>RD_M_1690_2007_0045</vt:lpstr>
      <vt:lpstr>RD_M_1690_2007_0152</vt:lpstr>
      <vt:lpstr>RD_M_1690_2007_0153</vt:lpstr>
      <vt:lpstr>RD_M_1691_2007_0221</vt:lpstr>
      <vt:lpstr>RD_M_1691_2007_0222</vt:lpstr>
      <vt:lpstr>RD_M_1691_2007_0223</vt:lpstr>
      <vt:lpstr>RD_M_1691_2007_0224</vt:lpstr>
      <vt:lpstr>RD_M_1691_2007_0225</vt:lpstr>
      <vt:lpstr>RD_M_1691_2007_0227</vt:lpstr>
      <vt:lpstr>RD_M_1691_2007_0228</vt:lpstr>
      <vt:lpstr>RD_M_1691_2011_0798</vt:lpstr>
      <vt:lpstr>RD_M_1691_2011_0799</vt:lpstr>
      <vt:lpstr>RD_M_1691_2011_0800</vt:lpstr>
      <vt:lpstr>RD_M_1691_2011_0802</vt:lpstr>
      <vt:lpstr>RD_M_1691_2011_0803</vt:lpstr>
      <vt:lpstr>RD_M_1691_2011_0805</vt:lpstr>
      <vt:lpstr>RD_M_1692_2007_0006</vt:lpstr>
      <vt:lpstr>RD_M_1692_2007_0007</vt:lpstr>
      <vt:lpstr>RD_M_1692_2007_0091</vt:lpstr>
      <vt:lpstr>RD_M_1692_2007_0092</vt:lpstr>
      <vt:lpstr>RD_M_1692_2007_0093</vt:lpstr>
      <vt:lpstr>RD_M_1692_2007_0094</vt:lpstr>
      <vt:lpstr>RD_M_1692_2007_0095</vt:lpstr>
      <vt:lpstr>RD_M_174_2008_0162</vt:lpstr>
      <vt:lpstr>RD_M_174_2008_0163</vt:lpstr>
      <vt:lpstr>RD_M_174_2008_0165</vt:lpstr>
      <vt:lpstr>RD_M_174_2008_0245</vt:lpstr>
      <vt:lpstr>RD_M_174_2008_0246</vt:lpstr>
      <vt:lpstr>RD_M_174_2008_0247</vt:lpstr>
      <vt:lpstr>RD_M_174_2008_0248</vt:lpstr>
      <vt:lpstr>RD_M_174_2008_0249</vt:lpstr>
      <vt:lpstr>RD_M_174_2013_1417</vt:lpstr>
      <vt:lpstr>RD_M_174_2013_1478</vt:lpstr>
      <vt:lpstr>RD_M_174_2013_1479</vt:lpstr>
      <vt:lpstr>RD_M_174_2013_1480</vt:lpstr>
      <vt:lpstr>RD_M_174_2013_1481</vt:lpstr>
      <vt:lpstr>RD_M_174_2013_1482</vt:lpstr>
      <vt:lpstr>RD_M_174_2013_1485</vt:lpstr>
      <vt:lpstr>RD_M_175_2008_0185</vt:lpstr>
      <vt:lpstr>RD_M_175_2008_0186</vt:lpstr>
      <vt:lpstr>RD_M_175_2008_0187</vt:lpstr>
      <vt:lpstr>RD_M_175_2008_0188</vt:lpstr>
      <vt:lpstr>RD_M_175_2008_0189</vt:lpstr>
      <vt:lpstr>RD_M_175_2008_0190</vt:lpstr>
      <vt:lpstr>RD_M_175_2008_0191</vt:lpstr>
      <vt:lpstr>RD_M_175_2008_0194</vt:lpstr>
      <vt:lpstr>RD_M_175_2013_1417</vt:lpstr>
      <vt:lpstr>RD_M_175_2013_1478</vt:lpstr>
      <vt:lpstr>RD_M_175_2013_1479</vt:lpstr>
      <vt:lpstr>RD_M_175_2013_1480</vt:lpstr>
      <vt:lpstr>RD_M_175_2013_1538</vt:lpstr>
      <vt:lpstr>RD_M_175_2013_1539</vt:lpstr>
      <vt:lpstr>RD_M_175_2013_1540</vt:lpstr>
      <vt:lpstr>RD_M_175_2013_1541</vt:lpstr>
      <vt:lpstr>RD_M_176_2008_0254</vt:lpstr>
      <vt:lpstr>RD_M_176_2008_0255</vt:lpstr>
      <vt:lpstr>RD_M_176_2008_0256</vt:lpstr>
      <vt:lpstr>RD_M_176_2008_0257</vt:lpstr>
      <vt:lpstr>RD_M_176_2008_0258</vt:lpstr>
      <vt:lpstr>RD_M_176_2008_0259</vt:lpstr>
      <vt:lpstr>RD_M_176_2008_0260</vt:lpstr>
      <vt:lpstr>RD_M_177_2008_0232</vt:lpstr>
      <vt:lpstr>RD_M_177_2008_0233</vt:lpstr>
      <vt:lpstr>RD_M_177_2008_0234</vt:lpstr>
      <vt:lpstr>RD_M_177_2008_0235</vt:lpstr>
      <vt:lpstr>RD_M_177_2008_0236</vt:lpstr>
      <vt:lpstr>RD_M_177_2008_0237</vt:lpstr>
      <vt:lpstr>RD_M_177_2008_0238</vt:lpstr>
      <vt:lpstr>RD_M_177_2008_0240</vt:lpstr>
      <vt:lpstr>RD_M_178_2008_0109</vt:lpstr>
      <vt:lpstr>RD_M_178_2008_0110</vt:lpstr>
      <vt:lpstr>RD_M_178_2008_0111</vt:lpstr>
      <vt:lpstr>RD_M_178_2008_0112</vt:lpstr>
      <vt:lpstr>RD_M_178_2008_0113</vt:lpstr>
      <vt:lpstr>RD_M_178_2008_0114</vt:lpstr>
      <vt:lpstr>RD_M_178_2008_0115</vt:lpstr>
      <vt:lpstr>RD_M_178_2008_0116</vt:lpstr>
      <vt:lpstr>RD_M_1792_2010_0036</vt:lpstr>
      <vt:lpstr>RD_M_1792_2010_0037</vt:lpstr>
      <vt:lpstr>RD_M_1792_2010_0038</vt:lpstr>
      <vt:lpstr>RD_M_1792_2010_0302</vt:lpstr>
      <vt:lpstr>RD_M_1792_2010_0310</vt:lpstr>
      <vt:lpstr>RD_M_1792_2010_0392</vt:lpstr>
      <vt:lpstr>RD_M_1792_2010_0393</vt:lpstr>
      <vt:lpstr>RD_M_1793_2010_0036</vt:lpstr>
      <vt:lpstr>RD_M_1793_2010_0037</vt:lpstr>
      <vt:lpstr>RD_M_1793_2010_0038</vt:lpstr>
      <vt:lpstr>RD_M_1793_2010_0040</vt:lpstr>
      <vt:lpstr>RD_M_1793_2010_0041</vt:lpstr>
      <vt:lpstr>RD_M_1793_2010_0042</vt:lpstr>
      <vt:lpstr>RD_M_1796_2008_0291</vt:lpstr>
      <vt:lpstr>RD_M_1796_2008_0292</vt:lpstr>
      <vt:lpstr>RD_M_1796_2008_0293</vt:lpstr>
      <vt:lpstr>RD_M_1796_2008_0294</vt:lpstr>
      <vt:lpstr>RD_M_1796_2008_0295</vt:lpstr>
      <vt:lpstr>RD_M_1796_2008_0296</vt:lpstr>
      <vt:lpstr>RD_M_1796_2008_0297</vt:lpstr>
      <vt:lpstr>RD_M_1797_2008_0163</vt:lpstr>
      <vt:lpstr>RD_M_1797_2008_0165</vt:lpstr>
      <vt:lpstr>RD_M_1797_2008_0303</vt:lpstr>
      <vt:lpstr>RD_M_1797_2008_0304</vt:lpstr>
      <vt:lpstr>RD_M_1797_2008_0305</vt:lpstr>
      <vt:lpstr>RD_M_1797_2008_0306</vt:lpstr>
      <vt:lpstr>RD_M_1797_2008_0307</vt:lpstr>
      <vt:lpstr>RD_M_1797_2008_0308</vt:lpstr>
      <vt:lpstr>RD_M_1797_2008_0311</vt:lpstr>
      <vt:lpstr>RD_M_1797_2008_0312</vt:lpstr>
      <vt:lpstr>RD_M_1798_2008_0030</vt:lpstr>
      <vt:lpstr>RD_M_1798_2008_0031</vt:lpstr>
      <vt:lpstr>RD_M_1798_2008_0116</vt:lpstr>
      <vt:lpstr>RD_M_1798_2008_0146</vt:lpstr>
      <vt:lpstr>RD_M_1798_2008_0316</vt:lpstr>
      <vt:lpstr>RD_M_1798_2008_0317</vt:lpstr>
      <vt:lpstr>RD_M_1798_2008_0318</vt:lpstr>
      <vt:lpstr>RD_M_1798_2008_0319</vt:lpstr>
      <vt:lpstr>RD_M_1798_2008_0320</vt:lpstr>
      <vt:lpstr>RD_M_1798_2008_0321</vt:lpstr>
      <vt:lpstr>RD_M_219_2008_0120</vt:lpstr>
      <vt:lpstr>RD_M_219_2008_0121</vt:lpstr>
      <vt:lpstr>RD_M_219_2008_0122</vt:lpstr>
      <vt:lpstr>RD_M_219_2008_0123</vt:lpstr>
      <vt:lpstr>RD_M_219_2008_0124</vt:lpstr>
      <vt:lpstr>RD_M_219_2008_0125</vt:lpstr>
      <vt:lpstr>RD_M_219_2008_0126</vt:lpstr>
      <vt:lpstr>RD_M_219_2008_0127</vt:lpstr>
      <vt:lpstr>RD_M_219_2008_0128</vt:lpstr>
      <vt:lpstr>RD_M_220_2008_0120</vt:lpstr>
      <vt:lpstr>RD_M_220_2008_0121</vt:lpstr>
      <vt:lpstr>RD_M_220_2008_0122</vt:lpstr>
      <vt:lpstr>RD_M_220_2008_0123</vt:lpstr>
      <vt:lpstr>RD_M_220_2008_0124</vt:lpstr>
      <vt:lpstr>RD_M_220_2008_0133</vt:lpstr>
      <vt:lpstr>RD_M_220_2008_0134</vt:lpstr>
      <vt:lpstr>RD_M_220_2008_0135</vt:lpstr>
      <vt:lpstr>RD_M_220_2008_0136</vt:lpstr>
      <vt:lpstr>RD_M_254_2011_0703</vt:lpstr>
      <vt:lpstr>RD_M_254_2011_0704</vt:lpstr>
      <vt:lpstr>RD_M_254_2011_0705</vt:lpstr>
      <vt:lpstr>RD_M_254_2011_0706</vt:lpstr>
      <vt:lpstr>RD_M_254_2011_0707</vt:lpstr>
      <vt:lpstr>RD_M_254_2011_0708</vt:lpstr>
      <vt:lpstr>RD_M_254_2011_0709</vt:lpstr>
      <vt:lpstr>RD_M_255_2011_0260</vt:lpstr>
      <vt:lpstr>RD_M_255_2011_0452</vt:lpstr>
      <vt:lpstr>RD_M_255_2011_0456</vt:lpstr>
      <vt:lpstr>RD_M_255_2011_0742</vt:lpstr>
      <vt:lpstr>RD_M_256_2011_0633</vt:lpstr>
      <vt:lpstr>RD_M_256_2011_0634</vt:lpstr>
      <vt:lpstr>RD_M_256_2011_0635</vt:lpstr>
      <vt:lpstr>RD_M_256_2011_0636</vt:lpstr>
      <vt:lpstr>RD_M_256_2011_0637</vt:lpstr>
      <vt:lpstr>RD_M_256_2011_0640</vt:lpstr>
      <vt:lpstr>RD_M_256_2011_0641</vt:lpstr>
      <vt:lpstr>RD_M_256_2011_0643</vt:lpstr>
      <vt:lpstr>RD_M_257_2011_0116</vt:lpstr>
      <vt:lpstr>RD_M_257_2011_0267</vt:lpstr>
      <vt:lpstr>RD_M_257_2011_0269</vt:lpstr>
      <vt:lpstr>RD_M_257_2011_0275</vt:lpstr>
      <vt:lpstr>RD_M_257_2011_0603</vt:lpstr>
      <vt:lpstr>RD_M_257_2011_0604</vt:lpstr>
      <vt:lpstr>RD_M_259_2011_0691</vt:lpstr>
      <vt:lpstr>RD_M_259_2011_0692</vt:lpstr>
      <vt:lpstr>RD_M_259_2011_0694</vt:lpstr>
      <vt:lpstr>RD_M_259_2011_0695</vt:lpstr>
      <vt:lpstr>RD_M_259_2011_0696</vt:lpstr>
      <vt:lpstr>RD_M_259_2011_0697</vt:lpstr>
      <vt:lpstr>RD_M_259_2011_0698</vt:lpstr>
      <vt:lpstr>RD_M_260_2011_0692</vt:lpstr>
      <vt:lpstr>RD_M_260_2011_0693</vt:lpstr>
      <vt:lpstr>RD_M_260_2011_0694</vt:lpstr>
      <vt:lpstr>RD_M_260_2011_0810</vt:lpstr>
      <vt:lpstr>RD_M_260_2011_0811</vt:lpstr>
      <vt:lpstr>RD_M_260_2011_0812</vt:lpstr>
      <vt:lpstr>RD_M_260_2011_0813</vt:lpstr>
      <vt:lpstr>RD_M_260_2011_0814</vt:lpstr>
      <vt:lpstr>RD_M_260_2011_0815</vt:lpstr>
      <vt:lpstr>RD_M_260_2011_0816</vt:lpstr>
      <vt:lpstr>RD_M_386_2011_0562</vt:lpstr>
      <vt:lpstr>RD_M_386_2011_0563</vt:lpstr>
      <vt:lpstr>RD_M_386_2011_0564</vt:lpstr>
      <vt:lpstr>RD_M_386_2011_0565</vt:lpstr>
      <vt:lpstr>RD_M_386_2011_0566</vt:lpstr>
      <vt:lpstr>RD_M_386_2011_0769</vt:lpstr>
      <vt:lpstr>RD_M_386_2011_0770</vt:lpstr>
      <vt:lpstr>RD_M_386_2011_0771</vt:lpstr>
      <vt:lpstr>RD_M_386_2011_0772</vt:lpstr>
      <vt:lpstr>RD_M_386_2011_0773</vt:lpstr>
      <vt:lpstr>RD_M_387_2011_0006</vt:lpstr>
      <vt:lpstr>RD_M_387_2011_0007</vt:lpstr>
      <vt:lpstr>RD_M_387_2011_0722</vt:lpstr>
      <vt:lpstr>RD_M_387_2011_0723</vt:lpstr>
      <vt:lpstr>RD_M_387_2011_0724</vt:lpstr>
      <vt:lpstr>RD_M_387_2011_0725</vt:lpstr>
      <vt:lpstr>RD_M_387_2011_0726</vt:lpstr>
      <vt:lpstr>RD_M_450_2010_0483</vt:lpstr>
      <vt:lpstr>RD_M_450_2010_0484</vt:lpstr>
      <vt:lpstr>RD_M_450_2010_0485</vt:lpstr>
      <vt:lpstr>RD_M_450_2010_0486</vt:lpstr>
      <vt:lpstr>RD_M_450_2010_0487</vt:lpstr>
      <vt:lpstr>RD_M_450_2010_0488</vt:lpstr>
      <vt:lpstr>RD_M_450_2010_0489</vt:lpstr>
      <vt:lpstr>RD_M_451_2010_0084</vt:lpstr>
      <vt:lpstr>RD_M_451_2010_0086</vt:lpstr>
      <vt:lpstr>RD_M_451_2010_0191</vt:lpstr>
      <vt:lpstr>RD_M_451_2010_0462</vt:lpstr>
      <vt:lpstr>RD_M_451_2010_0464</vt:lpstr>
      <vt:lpstr>RD_M_451_2010_0465</vt:lpstr>
      <vt:lpstr>RD_M_451_2010_0466</vt:lpstr>
      <vt:lpstr>RD_M_451_2010_0467</vt:lpstr>
      <vt:lpstr>RD_M_451_2010_0469</vt:lpstr>
      <vt:lpstr>RD_M_452_2010_0030</vt:lpstr>
      <vt:lpstr>RD_M_452_2010_0031</vt:lpstr>
      <vt:lpstr>RD_M_452_2010_0116</vt:lpstr>
      <vt:lpstr>RD_M_452_2010_0141</vt:lpstr>
      <vt:lpstr>RD_M_452_2010_0142</vt:lpstr>
      <vt:lpstr>RD_M_452_2010_0143</vt:lpstr>
      <vt:lpstr>RD_M_452_2010_0145</vt:lpstr>
      <vt:lpstr>RD_M_452_2010_0146</vt:lpstr>
      <vt:lpstr>RD_M_453_2010_0260</vt:lpstr>
      <vt:lpstr>RD_M_453_2010_0452</vt:lpstr>
      <vt:lpstr>RD_M_453_2010_0453</vt:lpstr>
      <vt:lpstr>RD_M_453_2010_0454</vt:lpstr>
      <vt:lpstr>RD_M_453_2010_0456</vt:lpstr>
      <vt:lpstr>RD_M_453_2010_0457</vt:lpstr>
      <vt:lpstr>RD_M_453_2010_0458</vt:lpstr>
      <vt:lpstr>RD_M_454_2010_0116</vt:lpstr>
      <vt:lpstr>RD_M_454_2010_0417</vt:lpstr>
      <vt:lpstr>RD_M_454_2010_0418</vt:lpstr>
      <vt:lpstr>RD_M_454_2010_0419</vt:lpstr>
      <vt:lpstr>RD_M_454_2010_0420</vt:lpstr>
      <vt:lpstr>RD_M_454_2010_0422</vt:lpstr>
      <vt:lpstr>RD_M_553_2012_1267</vt:lpstr>
      <vt:lpstr>RD_M_554_2012_0116</vt:lpstr>
      <vt:lpstr>RD_M_554_2012_1249</vt:lpstr>
      <vt:lpstr>RD_M_554_2012_1250</vt:lpstr>
      <vt:lpstr>RD_M_554_2012_1251</vt:lpstr>
      <vt:lpstr>RD_M_554_2012_1252</vt:lpstr>
      <vt:lpstr>RD_M_554_2012_1253</vt:lpstr>
      <vt:lpstr>RD_M_554_2012_1254</vt:lpstr>
      <vt:lpstr>RD_M_554_2012_1255</vt:lpstr>
      <vt:lpstr>RD_M_554_2012_1256</vt:lpstr>
      <vt:lpstr>RD_M_555_2012_1210</vt:lpstr>
      <vt:lpstr>RD_M_556_2012_1298</vt:lpstr>
      <vt:lpstr>RD_M_556_2012_1299</vt:lpstr>
      <vt:lpstr>RD_M_556_2012_1300</vt:lpstr>
      <vt:lpstr>RD_M_556_2012_1304</vt:lpstr>
      <vt:lpstr>RD_M_636_2015_0562</vt:lpstr>
      <vt:lpstr>RD_M_636_2015_0564</vt:lpstr>
      <vt:lpstr>RD_M_636_2015_0565</vt:lpstr>
      <vt:lpstr>RD_M_636_2015_0566</vt:lpstr>
      <vt:lpstr>RD_M_636_2015_1287</vt:lpstr>
      <vt:lpstr>RD_M_636_2015_1288</vt:lpstr>
      <vt:lpstr>RD_M_636_2015_1289</vt:lpstr>
      <vt:lpstr>RD_M_686_2010_0483</vt:lpstr>
      <vt:lpstr>RD_M_686_2010_0484</vt:lpstr>
      <vt:lpstr>RD_M_687_2010_0497</vt:lpstr>
      <vt:lpstr>RD_M_687_2010_0498</vt:lpstr>
      <vt:lpstr>RD_M_687_2010_0499</vt:lpstr>
      <vt:lpstr>RD_M_687_2010_0501</vt:lpstr>
      <vt:lpstr>RD_M_687_2010_0503</vt:lpstr>
      <vt:lpstr>RD_M_688_2010_0503</vt:lpstr>
      <vt:lpstr>RD_M_688_2010_0509</vt:lpstr>
      <vt:lpstr>RD_M_688_2010_0510</vt:lpstr>
      <vt:lpstr>RD_M_689_2010_0165</vt:lpstr>
      <vt:lpstr>RD_M_689_2010_0276</vt:lpstr>
      <vt:lpstr>RD_M_689_2010_0280</vt:lpstr>
      <vt:lpstr>RD_M_689_2010_0283</vt:lpstr>
      <vt:lpstr>RD_M_689_2010_0284</vt:lpstr>
      <vt:lpstr>RD_M_689_2010_0594</vt:lpstr>
      <vt:lpstr>RD_M_689_2010_0595</vt:lpstr>
      <vt:lpstr>RD_M_689_2010_0596</vt:lpstr>
      <vt:lpstr>RD_M_690_2010_0562</vt:lpstr>
      <vt:lpstr>RD_M_690_2010_0563</vt:lpstr>
      <vt:lpstr>RD_M_690_2010_0564</vt:lpstr>
      <vt:lpstr>RD_M_690_2010_0565</vt:lpstr>
      <vt:lpstr>RD_M_690_2010_0566</vt:lpstr>
      <vt:lpstr>RD_M_690_2010_0567</vt:lpstr>
      <vt:lpstr>RD_M_690_2010_0568</vt:lpstr>
      <vt:lpstr>RD_M_690_2010_0569</vt:lpstr>
      <vt:lpstr>RD_M_690_2010_0570</vt:lpstr>
      <vt:lpstr>RD_M_767_2014_1367</vt:lpstr>
      <vt:lpstr>RD_M_767_2014_1368</vt:lpstr>
      <vt:lpstr>RD_M_767_2014_1379</vt:lpstr>
      <vt:lpstr>RD_M_767_2014_1380</vt:lpstr>
      <vt:lpstr>RD_M_767_2014_1381</vt:lpstr>
      <vt:lpstr>RD_M_767_2014_1382</vt:lpstr>
      <vt:lpstr>RD_M_768_2014_0649</vt:lpstr>
      <vt:lpstr>RD_M_768_2014_1517</vt:lpstr>
      <vt:lpstr>RD_M_768_2014_1518</vt:lpstr>
      <vt:lpstr>RD_M_768_2014_1519</vt:lpstr>
      <vt:lpstr>RD_M_768_2014_1520</vt:lpstr>
      <vt:lpstr>RD_M_768_2014_1522</vt:lpstr>
      <vt:lpstr>RD_M_769_2014_0730</vt:lpstr>
      <vt:lpstr>RD_M_769_2014_0731</vt:lpstr>
      <vt:lpstr>RD_M_769_2014_0732</vt:lpstr>
      <vt:lpstr>RD_M_769_2014_0733</vt:lpstr>
      <vt:lpstr>RD_M_769_2014_0734</vt:lpstr>
      <vt:lpstr>RD_M_769_2014_0735</vt:lpstr>
      <vt:lpstr>RD_M_769_2014_0736</vt:lpstr>
      <vt:lpstr>RD_M_769_2014_0737</vt:lpstr>
      <vt:lpstr>RD_M_770_2014_1347</vt:lpstr>
      <vt:lpstr>RD_M_770_2014_1348</vt:lpstr>
      <vt:lpstr>RD_M_770_2014_1349</vt:lpstr>
      <vt:lpstr>RD_M_770_2014_1350</vt:lpstr>
      <vt:lpstr>RD_M_770_2014_1351</vt:lpstr>
      <vt:lpstr>RD_M_770_2014_1352</vt:lpstr>
      <vt:lpstr>RD_M_770_2014_1353</vt:lpstr>
      <vt:lpstr>RD_M_770_2014_1354</vt:lpstr>
      <vt:lpstr>RD_M_771_2014_1367</vt:lpstr>
      <vt:lpstr>RD_M_771_2014_1368</vt:lpstr>
      <vt:lpstr>RD_M_771_2014_1371</vt:lpstr>
      <vt:lpstr>RD_M_771_2014_1373</vt:lpstr>
      <vt:lpstr>RD_M_771_2014_1374</vt:lpstr>
      <vt:lpstr>RD_M_772_2014_1348</vt:lpstr>
      <vt:lpstr>RD_M_772_2014_1359</vt:lpstr>
      <vt:lpstr>RD_M_772_2014_1360</vt:lpstr>
      <vt:lpstr>RD_M_772_2014_1361</vt:lpstr>
      <vt:lpstr>RD_M_772_2014_1362</vt:lpstr>
      <vt:lpstr>RD_M_779_2013_0017</vt:lpstr>
      <vt:lpstr>RD_M_779_2013_0344</vt:lpstr>
      <vt:lpstr>RD_M_779_2013_1128</vt:lpstr>
      <vt:lpstr>RD_M_831_2014_1113</vt:lpstr>
      <vt:lpstr>RD_M_831_2014_1114</vt:lpstr>
      <vt:lpstr>RD_M_831_2014_1115</vt:lpstr>
      <vt:lpstr>RD_M_831_2014_1116</vt:lpstr>
      <vt:lpstr>RD_M_831_2014_1118</vt:lpstr>
      <vt:lpstr>RD_M_832_2014_1387</vt:lpstr>
      <vt:lpstr>RD_M_832_2014_1388</vt:lpstr>
      <vt:lpstr>RD_M_832_2014_1389</vt:lpstr>
      <vt:lpstr>RD_M_832_2014_1391</vt:lpstr>
      <vt:lpstr>RD_M_832_2014_1392</vt:lpstr>
      <vt:lpstr>RD_M_832_2014_1394</vt:lpstr>
      <vt:lpstr>RD_M_838_2015_1585</vt:lpstr>
      <vt:lpstr>RD_M_838_2015_1586</vt:lpstr>
      <vt:lpstr>RD_M_838_2015_1587</vt:lpstr>
      <vt:lpstr>RD_M_880_2011_0538</vt:lpstr>
      <vt:lpstr>RD_M_880_2011_0539</vt:lpstr>
      <vt:lpstr>RD_M_880_2011_0540</vt:lpstr>
      <vt:lpstr>RD_M_880_2011_0541</vt:lpstr>
      <vt:lpstr>RD_M_880_2011_0542</vt:lpstr>
      <vt:lpstr>RD_M_880_2011_0778</vt:lpstr>
      <vt:lpstr>RD_M_880_2011_0779</vt:lpstr>
      <vt:lpstr>RD_M_880_2011_0780</vt:lpstr>
      <vt:lpstr>RD_M_880_2011_0781</vt:lpstr>
      <vt:lpstr>RD_M_881_2011_0744</vt:lpstr>
      <vt:lpstr>RD_M_881_2011_0745</vt:lpstr>
      <vt:lpstr>RD_M_881_2011_0746</vt:lpstr>
      <vt:lpstr>RD_M_881_2011_0747</vt:lpstr>
      <vt:lpstr>RD_M_881_2011_0748</vt:lpstr>
      <vt:lpstr>RD_M_881_2011_0749</vt:lpstr>
      <vt:lpstr>RD_M_881_2011_0750</vt:lpstr>
      <vt:lpstr>RD_M_881_2011_0751</vt:lpstr>
      <vt:lpstr>RD_M_881_2011_0752</vt:lpstr>
      <vt:lpstr>RD_M_882_2011_0007</vt:lpstr>
      <vt:lpstr>RD_M_882_2011_0162</vt:lpstr>
      <vt:lpstr>RD_M_882_2011_0163</vt:lpstr>
      <vt:lpstr>RD_M_882_2011_0165</vt:lpstr>
      <vt:lpstr>RD_M_882_2011_0531</vt:lpstr>
      <vt:lpstr>RD_M_882_2011_0532</vt:lpstr>
      <vt:lpstr>RD_M_882_2011_0533</vt:lpstr>
      <vt:lpstr>RD_M_883_2011_0525</vt:lpstr>
      <vt:lpstr>RD_M_883_2011_0552</vt:lpstr>
      <vt:lpstr>RD_M_883_2011_0553</vt:lpstr>
      <vt:lpstr>RD_M_883_2011_0554</vt:lpstr>
      <vt:lpstr>RD_M_883_2011_0555</vt:lpstr>
      <vt:lpstr>RD_M_883_2011_0601</vt:lpstr>
      <vt:lpstr>RD_M_883_2011_0713</vt:lpstr>
      <vt:lpstr>RD_M_905_2013_0325</vt:lpstr>
      <vt:lpstr>RD_M_905_2013_0326</vt:lpstr>
      <vt:lpstr>RD_M_905_2013_0327</vt:lpstr>
      <vt:lpstr>RD_M_905_2013_0328</vt:lpstr>
      <vt:lpstr>RD_M_905_2013_0329</vt:lpstr>
      <vt:lpstr>RD_M_905_2013_0330</vt:lpstr>
      <vt:lpstr>RD_M_905_2013_0331</vt:lpstr>
      <vt:lpstr>RD_M_954_2008_0165</vt:lpstr>
      <vt:lpstr>RD_M_954_2008_0276</vt:lpstr>
      <vt:lpstr>RD_M_954_2008_0278</vt:lpstr>
      <vt:lpstr>RD_M_954_2008_0280</vt:lpstr>
      <vt:lpstr>RD_M_954_2008_0283</vt:lpstr>
      <vt:lpstr>RD_M_954_2008_0284</vt:lpstr>
      <vt:lpstr>RD_M_954_2008_0285</vt:lpstr>
      <vt:lpstr>RD_M_954_2008_0286</vt:lpstr>
      <vt:lpstr>RD_M_955_2008_0116</vt:lpstr>
      <vt:lpstr>RD_M_955_2008_0267</vt:lpstr>
      <vt:lpstr>RD_M_955_2008_0269</vt:lpstr>
      <vt:lpstr>RD_M_955_2008_0270</vt:lpstr>
      <vt:lpstr>RD_M_955_2008_0271</vt:lpstr>
      <vt:lpstr>RD_M_955_2008_0275</vt:lpstr>
      <vt:lpstr>Superior</vt:lpstr>
    </vt:vector>
  </TitlesOfParts>
  <Company>Comunidad de Madrid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Madrid Digital</dc:creator>
  <cp:lastModifiedBy>Madrid Digital</cp:lastModifiedBy>
  <cp:lastPrinted>2024-07-10T12:05:32Z</cp:lastPrinted>
  <dcterms:created xsi:type="dcterms:W3CDTF">2024-06-05T05:57:54Z</dcterms:created>
  <dcterms:modified xsi:type="dcterms:W3CDTF">2024-07-10T12:06:06Z</dcterms:modified>
</cp:coreProperties>
</file>